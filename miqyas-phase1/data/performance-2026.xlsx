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Lenovo\Desktop\"/>
    </mc:Choice>
  </mc:AlternateContent>
  <xr:revisionPtr revIDLastSave="0" documentId="8_{53B11CAB-2268-4759-AF39-6ABDEED9F78A}" xr6:coauthVersionLast="47" xr6:coauthVersionMax="47" xr10:uidLastSave="{00000000-0000-0000-0000-000000000000}"/>
  <bookViews>
    <workbookView xWindow="-108" yWindow="-108" windowWidth="23256" windowHeight="12456" firstSheet="5" activeTab="5" xr2:uid="{00000000-000D-0000-FFFF-FFFF00000000}"/>
  </bookViews>
  <sheets>
    <sheet name="قياس الأداء للربع الأول" sheetId="2" r:id="rId1"/>
    <sheet name="قياس الأداء للربع الثالث" sheetId="4" state="hidden" r:id="rId2"/>
    <sheet name="قياس الأداء للربع الرابع" sheetId="5" state="hidden" r:id="rId3"/>
    <sheet name="نسبة المؤشرات المنحرفة" sheetId="6" state="hidden" r:id="rId4"/>
    <sheet name="ادخال بيانات" sheetId="1" state="hidden" r:id="rId5"/>
    <sheet name="قياس الأداء للربع الثاني" sheetId="3" r:id="rId6"/>
    <sheet name="متابعة" sheetId="7" r:id="rId7"/>
  </sheets>
  <definedNames>
    <definedName name="_xlnm._FilterDatabase" localSheetId="3" hidden="1">'نسبة المؤشرات المنحرفة'!$A$2:$E$9</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7" l="1" a="1"/>
  <c r="H12" i="7"/>
  <c r="G12" i="7" a="1"/>
  <c r="G12" i="7"/>
  <c r="F12" i="7" a="1"/>
  <c r="F12" i="7"/>
  <c r="E12" i="7" a="1"/>
  <c r="E12" i="7"/>
  <c r="H11" i="7" a="1"/>
  <c r="H11" i="7"/>
  <c r="G11" i="7" a="1"/>
  <c r="G11" i="7"/>
  <c r="F11" i="7" a="1"/>
  <c r="F11" i="7"/>
  <c r="E11" i="7" a="1"/>
  <c r="E11" i="7"/>
  <c r="H10" i="7" a="1"/>
  <c r="H10" i="7"/>
  <c r="G10" i="7" a="1"/>
  <c r="G10" i="7"/>
  <c r="F10" i="7" a="1"/>
  <c r="F10" i="7"/>
  <c r="E10" i="7" a="1"/>
  <c r="E10" i="7"/>
  <c r="H9" i="7" a="1"/>
  <c r="H9" i="7"/>
  <c r="G9" i="7" a="1"/>
  <c r="G9" i="7"/>
  <c r="F9" i="7" a="1"/>
  <c r="F9" i="7"/>
  <c r="E9" i="7" a="1"/>
  <c r="E9" i="7"/>
  <c r="H8" i="7" a="1"/>
  <c r="H8" i="7"/>
  <c r="G8" i="7" a="1"/>
  <c r="G8" i="7"/>
  <c r="F8" i="7" a="1"/>
  <c r="F8" i="7"/>
  <c r="E8" i="7" a="1"/>
  <c r="E8" i="7"/>
  <c r="H7" i="7" a="1"/>
  <c r="H7" i="7"/>
  <c r="G7" i="7" a="1"/>
  <c r="G7" i="7"/>
  <c r="F7" i="7" a="1"/>
  <c r="F7" i="7"/>
  <c r="E7" i="7" a="1"/>
  <c r="E7" i="7"/>
  <c r="H6" i="7" a="1"/>
  <c r="H6" i="7"/>
  <c r="G6" i="7" a="1"/>
  <c r="G6" i="7"/>
  <c r="F6" i="7" a="1"/>
  <c r="F6" i="7"/>
  <c r="E6" i="7" a="1"/>
  <c r="E6" i="7"/>
  <c r="H5" i="7" a="1"/>
  <c r="H5" i="7"/>
  <c r="G5" i="7" a="1"/>
  <c r="G5" i="7"/>
  <c r="F5" i="7" a="1"/>
  <c r="F5" i="7"/>
  <c r="E5" i="7" a="1"/>
  <c r="E5" i="7"/>
  <c r="H4" i="7" a="1"/>
  <c r="H4" i="7"/>
  <c r="G4" i="7" a="1"/>
  <c r="G4" i="7"/>
  <c r="F4" i="7" a="1"/>
  <c r="F4" i="7"/>
  <c r="E4" i="7" a="1"/>
  <c r="E4" i="7"/>
  <c r="I5" i="7"/>
  <c r="I6" i="7"/>
  <c r="I7" i="7"/>
  <c r="I8" i="7"/>
  <c r="I9" i="7"/>
  <c r="I10" i="7"/>
  <c r="I11" i="7"/>
  <c r="I12" i="7"/>
  <c r="D4" i="7" a="1"/>
  <c r="D4" i="7"/>
  <c r="E15" i="7" a="1"/>
  <c r="E15" i="7"/>
  <c r="F15" i="7" a="1"/>
  <c r="F15" i="7"/>
  <c r="G15" i="7" a="1"/>
  <c r="G15" i="7"/>
  <c r="H15" i="7"/>
  <c r="E16" i="7" a="1"/>
  <c r="E16" i="7"/>
  <c r="F16" i="7" a="1"/>
  <c r="F16" i="7"/>
  <c r="G16" i="7" a="1"/>
  <c r="G16" i="7"/>
  <c r="H16" i="7"/>
  <c r="E17" i="7" a="1"/>
  <c r="E17" i="7"/>
  <c r="F17" i="7" a="1"/>
  <c r="F17" i="7"/>
  <c r="G17" i="7" a="1"/>
  <c r="G17" i="7"/>
  <c r="H17" i="7"/>
  <c r="E18" i="7" a="1"/>
  <c r="E18" i="7"/>
  <c r="F18" i="7" a="1"/>
  <c r="F18" i="7"/>
  <c r="G18" i="7" a="1"/>
  <c r="G18" i="7"/>
  <c r="H18" i="7"/>
  <c r="E19" i="7" a="1"/>
  <c r="E19" i="7"/>
  <c r="F19" i="7" a="1"/>
  <c r="F19" i="7"/>
  <c r="G19" i="7" a="1"/>
  <c r="G19" i="7"/>
  <c r="H19" i="7"/>
  <c r="E20" i="7" a="1"/>
  <c r="E20" i="7"/>
  <c r="F20" i="7" a="1"/>
  <c r="F20" i="7"/>
  <c r="G20" i="7" a="1"/>
  <c r="G20" i="7"/>
  <c r="H20" i="7"/>
  <c r="E21" i="7" a="1"/>
  <c r="E21" i="7"/>
  <c r="F21" i="7" a="1"/>
  <c r="F21" i="7"/>
  <c r="G21" i="7" a="1"/>
  <c r="G21" i="7"/>
  <c r="H21" i="7"/>
  <c r="E22" i="7" a="1"/>
  <c r="E22" i="7"/>
  <c r="F22" i="7" a="1"/>
  <c r="F22" i="7"/>
  <c r="G22" i="7" a="1"/>
  <c r="G22" i="7"/>
  <c r="H22" i="7"/>
  <c r="E23" i="7" a="1"/>
  <c r="E23" i="7"/>
  <c r="F23" i="7" a="1"/>
  <c r="F23" i="7"/>
  <c r="G23" i="7" a="1"/>
  <c r="G23" i="7"/>
  <c r="H23" i="7"/>
  <c r="E24" i="7" a="1"/>
  <c r="E24" i="7"/>
  <c r="F24" i="7" a="1"/>
  <c r="F24" i="7"/>
  <c r="G24" i="7" a="1"/>
  <c r="G24" i="7"/>
  <c r="H24" i="7"/>
  <c r="E25" i="7" a="1"/>
  <c r="E25" i="7"/>
  <c r="F25" i="7" a="1"/>
  <c r="F25" i="7"/>
  <c r="G25" i="7" a="1"/>
  <c r="G25" i="7"/>
  <c r="H25" i="7"/>
  <c r="E26" i="7" a="1"/>
  <c r="E26" i="7"/>
  <c r="F26" i="7" a="1"/>
  <c r="F26" i="7"/>
  <c r="G26" i="7" a="1"/>
  <c r="G26" i="7"/>
  <c r="H26" i="7"/>
  <c r="E13" i="7" a="1"/>
  <c r="E13" i="7"/>
  <c r="F13" i="7" a="1"/>
  <c r="F13" i="7"/>
  <c r="G13" i="7" a="1"/>
  <c r="G13" i="7"/>
  <c r="H13" i="7"/>
  <c r="E14" i="7" a="1"/>
  <c r="E14" i="7"/>
  <c r="F14" i="7" a="1"/>
  <c r="F14" i="7"/>
  <c r="G14" i="7" a="1"/>
  <c r="G14" i="7"/>
  <c r="H14" i="7"/>
  <c r="S46" i="3"/>
  <c r="W9" i="2"/>
  <c r="W5" i="2"/>
  <c r="V3" i="2"/>
  <c r="W6" i="2"/>
  <c r="B9" i="6"/>
  <c r="W80" i="5"/>
  <c r="V80" i="5"/>
  <c r="P80" i="5"/>
  <c r="O80" i="5"/>
  <c r="N80" i="5"/>
  <c r="W79" i="5"/>
  <c r="V79" i="5"/>
  <c r="P79" i="5"/>
  <c r="O79" i="5"/>
  <c r="N79" i="5"/>
  <c r="W78" i="5"/>
  <c r="V78" i="5"/>
  <c r="P78" i="5"/>
  <c r="O78" i="5"/>
  <c r="N78" i="5"/>
  <c r="X78" i="5" s="1"/>
  <c r="W77" i="5"/>
  <c r="V77" i="5"/>
  <c r="P77" i="5"/>
  <c r="O77" i="5"/>
  <c r="N77" i="5"/>
  <c r="W76" i="5"/>
  <c r="V76" i="5"/>
  <c r="P76" i="5"/>
  <c r="O76" i="5"/>
  <c r="N76" i="5"/>
  <c r="W75" i="5"/>
  <c r="V75" i="5"/>
  <c r="P75" i="5"/>
  <c r="O75" i="5"/>
  <c r="N75" i="5"/>
  <c r="W74" i="5"/>
  <c r="V74" i="5"/>
  <c r="P74" i="5"/>
  <c r="O74" i="5"/>
  <c r="N74" i="5"/>
  <c r="W73" i="5"/>
  <c r="V73" i="5"/>
  <c r="P73" i="5"/>
  <c r="O73" i="5"/>
  <c r="N73" i="5"/>
  <c r="W72" i="5"/>
  <c r="V72" i="5"/>
  <c r="P72" i="5"/>
  <c r="O72" i="5"/>
  <c r="N72" i="5"/>
  <c r="W71" i="5"/>
  <c r="V71" i="5"/>
  <c r="P71" i="5"/>
  <c r="O71" i="5"/>
  <c r="N71" i="5"/>
  <c r="W70" i="5"/>
  <c r="V70" i="5"/>
  <c r="P70" i="5"/>
  <c r="O70" i="5"/>
  <c r="N70" i="5"/>
  <c r="W69" i="5"/>
  <c r="V69" i="5"/>
  <c r="P69" i="5"/>
  <c r="O69" i="5"/>
  <c r="N69" i="5"/>
  <c r="W68" i="5"/>
  <c r="V68" i="5"/>
  <c r="P68" i="5"/>
  <c r="O68" i="5"/>
  <c r="N68" i="5"/>
  <c r="W67" i="5"/>
  <c r="V67" i="5"/>
  <c r="P67" i="5"/>
  <c r="O67" i="5"/>
  <c r="N67" i="5"/>
  <c r="W66" i="5"/>
  <c r="V66" i="5"/>
  <c r="P66" i="5"/>
  <c r="O66" i="5"/>
  <c r="N66" i="5"/>
  <c r="W65" i="5"/>
  <c r="V65" i="5"/>
  <c r="P65" i="5"/>
  <c r="O65" i="5"/>
  <c r="N65" i="5"/>
  <c r="X65" i="5" s="1"/>
  <c r="W64" i="5"/>
  <c r="V64" i="5"/>
  <c r="P64" i="5"/>
  <c r="O64" i="5"/>
  <c r="N64" i="5"/>
  <c r="W63" i="5"/>
  <c r="V63" i="5"/>
  <c r="P63" i="5"/>
  <c r="O63" i="5"/>
  <c r="N63" i="5"/>
  <c r="W62" i="5"/>
  <c r="V62" i="5"/>
  <c r="P62" i="5"/>
  <c r="O62" i="5"/>
  <c r="N62" i="5"/>
  <c r="X62" i="5" s="1"/>
  <c r="W61" i="5"/>
  <c r="V61" i="5"/>
  <c r="P61" i="5"/>
  <c r="O61" i="5"/>
  <c r="N61" i="5"/>
  <c r="W60" i="5"/>
  <c r="V60" i="5"/>
  <c r="P60" i="5"/>
  <c r="O60" i="5"/>
  <c r="N60" i="5"/>
  <c r="W59" i="5"/>
  <c r="V59" i="5"/>
  <c r="P59" i="5"/>
  <c r="O59" i="5"/>
  <c r="N59" i="5"/>
  <c r="X59" i="5" s="1"/>
  <c r="W58" i="5"/>
  <c r="V58" i="5"/>
  <c r="P58" i="5"/>
  <c r="O58" i="5"/>
  <c r="N58" i="5"/>
  <c r="W57" i="5"/>
  <c r="V57" i="5"/>
  <c r="P57" i="5"/>
  <c r="O57" i="5"/>
  <c r="N57" i="5"/>
  <c r="W56" i="5"/>
  <c r="V56" i="5"/>
  <c r="P56" i="5"/>
  <c r="O56" i="5"/>
  <c r="N56" i="5"/>
  <c r="W55" i="5"/>
  <c r="V55" i="5"/>
  <c r="P55" i="5"/>
  <c r="O55" i="5"/>
  <c r="N55" i="5"/>
  <c r="W54" i="5"/>
  <c r="V54" i="5"/>
  <c r="P54" i="5"/>
  <c r="O54" i="5"/>
  <c r="N54" i="5"/>
  <c r="W53" i="5"/>
  <c r="V53" i="5"/>
  <c r="P53" i="5"/>
  <c r="O53" i="5"/>
  <c r="N53" i="5"/>
  <c r="W52" i="5"/>
  <c r="V52" i="5"/>
  <c r="P52" i="5"/>
  <c r="O52" i="5"/>
  <c r="N52" i="5"/>
  <c r="W51" i="5"/>
  <c r="V51" i="5"/>
  <c r="P51" i="5"/>
  <c r="O51" i="5"/>
  <c r="N51" i="5"/>
  <c r="W50" i="5"/>
  <c r="V50" i="5"/>
  <c r="P50" i="5"/>
  <c r="O50" i="5"/>
  <c r="N50" i="5"/>
  <c r="W49" i="5"/>
  <c r="V49" i="5"/>
  <c r="P49" i="5"/>
  <c r="O49" i="5"/>
  <c r="N49" i="5"/>
  <c r="X49" i="5" s="1"/>
  <c r="W48" i="5"/>
  <c r="V48" i="5"/>
  <c r="P48" i="5"/>
  <c r="O48" i="5"/>
  <c r="N48" i="5"/>
  <c r="W47" i="5"/>
  <c r="V47" i="5"/>
  <c r="P47" i="5"/>
  <c r="O47" i="5"/>
  <c r="N47" i="5"/>
  <c r="W46" i="5"/>
  <c r="V46" i="5"/>
  <c r="P46" i="5"/>
  <c r="O46" i="5"/>
  <c r="N46" i="5"/>
  <c r="X46" i="5" s="1"/>
  <c r="W45" i="5"/>
  <c r="V45" i="5"/>
  <c r="P45" i="5"/>
  <c r="O45" i="5"/>
  <c r="N45" i="5"/>
  <c r="W44" i="5"/>
  <c r="V44" i="5"/>
  <c r="P44" i="5"/>
  <c r="O44" i="5"/>
  <c r="N44" i="5"/>
  <c r="W43" i="5"/>
  <c r="V43" i="5"/>
  <c r="P43" i="5"/>
  <c r="O43" i="5"/>
  <c r="N43" i="5"/>
  <c r="W42" i="5"/>
  <c r="V42" i="5"/>
  <c r="P42" i="5"/>
  <c r="O42" i="5"/>
  <c r="N42" i="5"/>
  <c r="W41" i="5"/>
  <c r="V41" i="5"/>
  <c r="P41" i="5"/>
  <c r="O41" i="5"/>
  <c r="N41" i="5"/>
  <c r="W40" i="5"/>
  <c r="V40" i="5"/>
  <c r="P40" i="5"/>
  <c r="O40" i="5"/>
  <c r="N40" i="5"/>
  <c r="W39" i="5"/>
  <c r="V39" i="5"/>
  <c r="P39" i="5"/>
  <c r="O39" i="5"/>
  <c r="N39" i="5"/>
  <c r="W38" i="5"/>
  <c r="V38" i="5"/>
  <c r="P38" i="5"/>
  <c r="O38" i="5"/>
  <c r="N38" i="5"/>
  <c r="W37" i="5"/>
  <c r="V37" i="5"/>
  <c r="P37" i="5"/>
  <c r="O37" i="5"/>
  <c r="N37" i="5"/>
  <c r="W36" i="5"/>
  <c r="V36" i="5"/>
  <c r="P36" i="5"/>
  <c r="O36" i="5"/>
  <c r="N36" i="5"/>
  <c r="W35" i="5"/>
  <c r="V35" i="5"/>
  <c r="P35" i="5"/>
  <c r="O35" i="5"/>
  <c r="N35" i="5"/>
  <c r="W34" i="5"/>
  <c r="V34" i="5"/>
  <c r="P34" i="5"/>
  <c r="O34" i="5"/>
  <c r="N34" i="5"/>
  <c r="W33" i="5"/>
  <c r="V33" i="5"/>
  <c r="P33" i="5"/>
  <c r="O33" i="5"/>
  <c r="N33" i="5"/>
  <c r="X33" i="5" s="1"/>
  <c r="W32" i="5"/>
  <c r="V32" i="5"/>
  <c r="P32" i="5"/>
  <c r="O32" i="5"/>
  <c r="N32" i="5"/>
  <c r="W31" i="5"/>
  <c r="V31" i="5"/>
  <c r="P31" i="5"/>
  <c r="O31" i="5"/>
  <c r="N31" i="5"/>
  <c r="W30" i="5"/>
  <c r="V30" i="5"/>
  <c r="P30" i="5"/>
  <c r="O30" i="5"/>
  <c r="N30" i="5"/>
  <c r="X30" i="5" s="1"/>
  <c r="W29" i="5"/>
  <c r="V29" i="5"/>
  <c r="P29" i="5"/>
  <c r="O29" i="5"/>
  <c r="N29" i="5"/>
  <c r="W28" i="5"/>
  <c r="V28" i="5"/>
  <c r="P28" i="5"/>
  <c r="O28" i="5"/>
  <c r="N28" i="5"/>
  <c r="W27" i="5"/>
  <c r="V27" i="5"/>
  <c r="P27" i="5"/>
  <c r="O27" i="5"/>
  <c r="N27" i="5"/>
  <c r="X27" i="5" s="1"/>
  <c r="W26" i="5"/>
  <c r="V26" i="5"/>
  <c r="P26" i="5"/>
  <c r="O26" i="5"/>
  <c r="N26" i="5"/>
  <c r="W25" i="5"/>
  <c r="V25" i="5"/>
  <c r="P25" i="5"/>
  <c r="O25" i="5"/>
  <c r="N25" i="5"/>
  <c r="W24" i="5"/>
  <c r="V24" i="5"/>
  <c r="P24" i="5"/>
  <c r="O24" i="5"/>
  <c r="N24" i="5"/>
  <c r="W23" i="5"/>
  <c r="V23" i="5"/>
  <c r="P23" i="5"/>
  <c r="O23" i="5"/>
  <c r="N23" i="5"/>
  <c r="W22" i="5"/>
  <c r="V22" i="5"/>
  <c r="P22" i="5"/>
  <c r="O22" i="5"/>
  <c r="N22" i="5"/>
  <c r="W21" i="5"/>
  <c r="V21" i="5"/>
  <c r="P21" i="5"/>
  <c r="O21" i="5"/>
  <c r="N21" i="5"/>
  <c r="W20" i="5"/>
  <c r="V20" i="5"/>
  <c r="P20" i="5"/>
  <c r="O20" i="5"/>
  <c r="N20" i="5"/>
  <c r="W19" i="5"/>
  <c r="V19" i="5"/>
  <c r="P19" i="5"/>
  <c r="O19" i="5"/>
  <c r="N19" i="5"/>
  <c r="W18" i="5"/>
  <c r="V18" i="5"/>
  <c r="P18" i="5"/>
  <c r="O18" i="5"/>
  <c r="N18" i="5"/>
  <c r="W17" i="5"/>
  <c r="V17" i="5"/>
  <c r="P17" i="5"/>
  <c r="O17" i="5"/>
  <c r="N17" i="5"/>
  <c r="W16" i="5"/>
  <c r="V16" i="5"/>
  <c r="P16" i="5"/>
  <c r="O16" i="5"/>
  <c r="N16" i="5"/>
  <c r="W15" i="5"/>
  <c r="V15" i="5"/>
  <c r="P15" i="5"/>
  <c r="O15" i="5"/>
  <c r="N15" i="5"/>
  <c r="W14" i="5"/>
  <c r="V14" i="5"/>
  <c r="P14" i="5"/>
  <c r="O14" i="5"/>
  <c r="N14" i="5"/>
  <c r="X14" i="5" s="1"/>
  <c r="W13" i="5"/>
  <c r="V13" i="5"/>
  <c r="P13" i="5"/>
  <c r="O13" i="5"/>
  <c r="N13" i="5"/>
  <c r="W12" i="5"/>
  <c r="V12" i="5"/>
  <c r="P12" i="5"/>
  <c r="O12" i="5"/>
  <c r="N12" i="5"/>
  <c r="W11" i="5"/>
  <c r="V11" i="5"/>
  <c r="P11" i="5"/>
  <c r="O11" i="5"/>
  <c r="N11" i="5"/>
  <c r="AB10" i="5" a="1"/>
  <c r="AB15" i="5" s="1"/>
  <c r="W10" i="5"/>
  <c r="V10" i="5"/>
  <c r="P10" i="5"/>
  <c r="O10" i="5"/>
  <c r="N10" i="5"/>
  <c r="W9" i="5"/>
  <c r="V9" i="5"/>
  <c r="P9" i="5"/>
  <c r="O9" i="5"/>
  <c r="N9" i="5"/>
  <c r="W8" i="5"/>
  <c r="V8" i="5"/>
  <c r="P8" i="5"/>
  <c r="O8" i="5"/>
  <c r="N8" i="5"/>
  <c r="W7" i="5"/>
  <c r="V7" i="5"/>
  <c r="P7" i="5"/>
  <c r="O7" i="5"/>
  <c r="N7" i="5"/>
  <c r="W6" i="5"/>
  <c r="V6" i="5"/>
  <c r="P6" i="5"/>
  <c r="O6" i="5"/>
  <c r="N6" i="5"/>
  <c r="W5" i="5"/>
  <c r="V5" i="5"/>
  <c r="P5" i="5"/>
  <c r="O5" i="5"/>
  <c r="N5" i="5"/>
  <c r="W4" i="5"/>
  <c r="V4" i="5"/>
  <c r="P4" i="5"/>
  <c r="O4" i="5"/>
  <c r="N4" i="5"/>
  <c r="W3" i="5"/>
  <c r="V3" i="5"/>
  <c r="P3" i="5"/>
  <c r="O3" i="5"/>
  <c r="N3" i="5"/>
  <c r="W80" i="4"/>
  <c r="V80" i="4"/>
  <c r="P80" i="4"/>
  <c r="O80" i="4"/>
  <c r="N80" i="4"/>
  <c r="W79" i="4"/>
  <c r="V79" i="4"/>
  <c r="P79" i="4"/>
  <c r="O79" i="4"/>
  <c r="N79" i="4"/>
  <c r="W78" i="4"/>
  <c r="V78" i="4"/>
  <c r="P78" i="4"/>
  <c r="O78" i="4"/>
  <c r="N78" i="4"/>
  <c r="W77" i="4"/>
  <c r="V77" i="4"/>
  <c r="P77" i="4"/>
  <c r="O77" i="4"/>
  <c r="N77" i="4"/>
  <c r="W76" i="4"/>
  <c r="V76" i="4"/>
  <c r="P76" i="4"/>
  <c r="O76" i="4"/>
  <c r="N76" i="4"/>
  <c r="W75" i="4"/>
  <c r="V75" i="4"/>
  <c r="P75" i="4"/>
  <c r="O75" i="4"/>
  <c r="N75" i="4"/>
  <c r="W74" i="4"/>
  <c r="V74" i="4"/>
  <c r="P74" i="4"/>
  <c r="O74" i="4"/>
  <c r="N74" i="4"/>
  <c r="W73" i="4"/>
  <c r="V73" i="4"/>
  <c r="P73" i="4"/>
  <c r="O73" i="4"/>
  <c r="N73" i="4"/>
  <c r="W72" i="4"/>
  <c r="V72" i="4"/>
  <c r="P72" i="4"/>
  <c r="O72" i="4"/>
  <c r="N72" i="4"/>
  <c r="W71" i="4"/>
  <c r="V71" i="4"/>
  <c r="P71" i="4"/>
  <c r="O71" i="4"/>
  <c r="N71" i="4"/>
  <c r="W70" i="4"/>
  <c r="V70" i="4"/>
  <c r="P70" i="4"/>
  <c r="O70" i="4"/>
  <c r="N70" i="4"/>
  <c r="W69" i="4"/>
  <c r="V69" i="4"/>
  <c r="P69" i="4"/>
  <c r="O69" i="4"/>
  <c r="N69" i="4"/>
  <c r="W68" i="4"/>
  <c r="V68" i="4"/>
  <c r="P68" i="4"/>
  <c r="O68" i="4"/>
  <c r="N68" i="4"/>
  <c r="W67" i="4"/>
  <c r="V67" i="4"/>
  <c r="P67" i="4"/>
  <c r="O67" i="4"/>
  <c r="N67" i="4"/>
  <c r="W66" i="4"/>
  <c r="V66" i="4"/>
  <c r="P66" i="4"/>
  <c r="O66" i="4"/>
  <c r="N66" i="4"/>
  <c r="W65" i="4"/>
  <c r="V65" i="4"/>
  <c r="P65" i="4"/>
  <c r="O65" i="4"/>
  <c r="N65" i="4"/>
  <c r="W64" i="4"/>
  <c r="V64" i="4"/>
  <c r="P64" i="4"/>
  <c r="O64" i="4"/>
  <c r="N64" i="4"/>
  <c r="W63" i="4"/>
  <c r="V63" i="4"/>
  <c r="P63" i="4"/>
  <c r="O63" i="4"/>
  <c r="N63" i="4"/>
  <c r="W62" i="4"/>
  <c r="V62" i="4"/>
  <c r="P62" i="4"/>
  <c r="O62" i="4"/>
  <c r="N62" i="4"/>
  <c r="W61" i="4"/>
  <c r="V61" i="4"/>
  <c r="P61" i="4"/>
  <c r="O61" i="4"/>
  <c r="N61" i="4"/>
  <c r="W60" i="4"/>
  <c r="V60" i="4"/>
  <c r="P60" i="4"/>
  <c r="O60" i="4"/>
  <c r="N60" i="4"/>
  <c r="W59" i="4"/>
  <c r="V59" i="4"/>
  <c r="P59" i="4"/>
  <c r="O59" i="4"/>
  <c r="N59" i="4"/>
  <c r="W58" i="4"/>
  <c r="V58" i="4"/>
  <c r="P58" i="4"/>
  <c r="O58" i="4"/>
  <c r="N58" i="4"/>
  <c r="W57" i="4"/>
  <c r="V57" i="4"/>
  <c r="P57" i="4"/>
  <c r="O57" i="4"/>
  <c r="N57" i="4"/>
  <c r="W56" i="4"/>
  <c r="V56" i="4"/>
  <c r="P56" i="4"/>
  <c r="O56" i="4"/>
  <c r="N56" i="4"/>
  <c r="W55" i="4"/>
  <c r="V55" i="4"/>
  <c r="P55" i="4"/>
  <c r="O55" i="4"/>
  <c r="N55" i="4"/>
  <c r="W54" i="4"/>
  <c r="V54" i="4"/>
  <c r="P54" i="4"/>
  <c r="O54" i="4"/>
  <c r="N54" i="4"/>
  <c r="W53" i="4"/>
  <c r="V53" i="4"/>
  <c r="P53" i="4"/>
  <c r="O53" i="4"/>
  <c r="N53" i="4"/>
  <c r="W52" i="4"/>
  <c r="V52" i="4"/>
  <c r="P52" i="4"/>
  <c r="O52" i="4"/>
  <c r="N52" i="4"/>
  <c r="W51" i="4"/>
  <c r="V51" i="4"/>
  <c r="P51" i="4"/>
  <c r="O51" i="4"/>
  <c r="N51" i="4"/>
  <c r="X51" i="4" s="1"/>
  <c r="W50" i="4"/>
  <c r="V50" i="4"/>
  <c r="P50" i="4"/>
  <c r="O50" i="4"/>
  <c r="N50" i="4"/>
  <c r="W49" i="4"/>
  <c r="V49" i="4"/>
  <c r="P49" i="4"/>
  <c r="O49" i="4"/>
  <c r="N49" i="4"/>
  <c r="W48" i="4"/>
  <c r="V48" i="4"/>
  <c r="P48" i="4"/>
  <c r="O48" i="4"/>
  <c r="N48" i="4"/>
  <c r="W47" i="4"/>
  <c r="V47" i="4"/>
  <c r="P47" i="4"/>
  <c r="O47" i="4"/>
  <c r="N47" i="4"/>
  <c r="W46" i="4"/>
  <c r="V46" i="4"/>
  <c r="P46" i="4"/>
  <c r="O46" i="4"/>
  <c r="N46" i="4"/>
  <c r="W45" i="4"/>
  <c r="V45" i="4"/>
  <c r="P45" i="4"/>
  <c r="O45" i="4"/>
  <c r="N45" i="4"/>
  <c r="W44" i="4"/>
  <c r="V44" i="4"/>
  <c r="P44" i="4"/>
  <c r="O44" i="4"/>
  <c r="N44" i="4"/>
  <c r="W43" i="4"/>
  <c r="V43" i="4"/>
  <c r="P43" i="4"/>
  <c r="O43" i="4"/>
  <c r="N43" i="4"/>
  <c r="W42" i="4"/>
  <c r="V42" i="4"/>
  <c r="P42" i="4"/>
  <c r="O42" i="4"/>
  <c r="N42" i="4"/>
  <c r="W41" i="4"/>
  <c r="V41" i="4"/>
  <c r="P41" i="4"/>
  <c r="O41" i="4"/>
  <c r="N41" i="4"/>
  <c r="W40" i="4"/>
  <c r="V40" i="4"/>
  <c r="P40" i="4"/>
  <c r="O40" i="4"/>
  <c r="N40" i="4"/>
  <c r="W39" i="4"/>
  <c r="V39" i="4"/>
  <c r="P39" i="4"/>
  <c r="O39" i="4"/>
  <c r="N39" i="4"/>
  <c r="W38" i="4"/>
  <c r="V38" i="4"/>
  <c r="P38" i="4"/>
  <c r="O38" i="4"/>
  <c r="N38" i="4"/>
  <c r="W37" i="4"/>
  <c r="V37" i="4"/>
  <c r="P37" i="4"/>
  <c r="O37" i="4"/>
  <c r="N37" i="4"/>
  <c r="W36" i="4"/>
  <c r="V36" i="4"/>
  <c r="P36" i="4"/>
  <c r="O36" i="4"/>
  <c r="N36" i="4"/>
  <c r="W35" i="4"/>
  <c r="V35" i="4"/>
  <c r="P35" i="4"/>
  <c r="O35" i="4"/>
  <c r="N35" i="4"/>
  <c r="X35" i="4" s="1"/>
  <c r="W34" i="4"/>
  <c r="V34" i="4"/>
  <c r="P34" i="4"/>
  <c r="O34" i="4"/>
  <c r="N34" i="4"/>
  <c r="W33" i="4"/>
  <c r="V33" i="4"/>
  <c r="P33" i="4"/>
  <c r="O33" i="4"/>
  <c r="N33" i="4"/>
  <c r="W32" i="4"/>
  <c r="V32" i="4"/>
  <c r="P32" i="4"/>
  <c r="O32" i="4"/>
  <c r="N32" i="4"/>
  <c r="W31" i="4"/>
  <c r="V31" i="4"/>
  <c r="P31" i="4"/>
  <c r="O31" i="4"/>
  <c r="N31" i="4"/>
  <c r="W30" i="4"/>
  <c r="V30" i="4"/>
  <c r="P30" i="4"/>
  <c r="O30" i="4"/>
  <c r="N30" i="4"/>
  <c r="W29" i="4"/>
  <c r="V29" i="4"/>
  <c r="P29" i="4"/>
  <c r="O29" i="4"/>
  <c r="N29" i="4"/>
  <c r="W28" i="4"/>
  <c r="V28" i="4"/>
  <c r="P28" i="4"/>
  <c r="O28" i="4"/>
  <c r="N28" i="4"/>
  <c r="W27" i="4"/>
  <c r="V27" i="4"/>
  <c r="P27" i="4"/>
  <c r="O27" i="4"/>
  <c r="N27" i="4"/>
  <c r="W26" i="4"/>
  <c r="V26" i="4"/>
  <c r="P26" i="4"/>
  <c r="O26" i="4"/>
  <c r="N26" i="4"/>
  <c r="W25" i="4"/>
  <c r="V25" i="4"/>
  <c r="P25" i="4"/>
  <c r="O25" i="4"/>
  <c r="N25" i="4"/>
  <c r="W24" i="4"/>
  <c r="V24" i="4"/>
  <c r="P24" i="4"/>
  <c r="O24" i="4"/>
  <c r="N24" i="4"/>
  <c r="W23" i="4"/>
  <c r="V23" i="4"/>
  <c r="P23" i="4"/>
  <c r="O23" i="4"/>
  <c r="N23" i="4"/>
  <c r="W22" i="4"/>
  <c r="V22" i="4"/>
  <c r="P22" i="4"/>
  <c r="O22" i="4"/>
  <c r="N22" i="4"/>
  <c r="W21" i="4"/>
  <c r="V21" i="4"/>
  <c r="P21" i="4"/>
  <c r="O21" i="4"/>
  <c r="N21" i="4"/>
  <c r="W20" i="4"/>
  <c r="V20" i="4"/>
  <c r="P20" i="4"/>
  <c r="O20" i="4"/>
  <c r="N20" i="4"/>
  <c r="W19" i="4"/>
  <c r="V19" i="4"/>
  <c r="P19" i="4"/>
  <c r="O19" i="4"/>
  <c r="N19" i="4"/>
  <c r="W18" i="4"/>
  <c r="V18" i="4"/>
  <c r="P18" i="4"/>
  <c r="O18" i="4"/>
  <c r="N18" i="4"/>
  <c r="W17" i="4"/>
  <c r="V17" i="4"/>
  <c r="P17" i="4"/>
  <c r="O17" i="4"/>
  <c r="N17" i="4"/>
  <c r="W16" i="4"/>
  <c r="V16" i="4"/>
  <c r="P16" i="4"/>
  <c r="O16" i="4"/>
  <c r="N16" i="4"/>
  <c r="W15" i="4"/>
  <c r="V15" i="4"/>
  <c r="P15" i="4"/>
  <c r="O15" i="4"/>
  <c r="N15" i="4"/>
  <c r="W14" i="4"/>
  <c r="V14" i="4"/>
  <c r="P14" i="4"/>
  <c r="O14" i="4"/>
  <c r="N14" i="4"/>
  <c r="W13" i="4"/>
  <c r="V13" i="4"/>
  <c r="P13" i="4"/>
  <c r="O13" i="4"/>
  <c r="N13" i="4"/>
  <c r="W12" i="4"/>
  <c r="V12" i="4"/>
  <c r="P12" i="4"/>
  <c r="O12" i="4"/>
  <c r="N12" i="4"/>
  <c r="W11" i="4"/>
  <c r="V11" i="4"/>
  <c r="P11" i="4"/>
  <c r="O11" i="4"/>
  <c r="N11" i="4"/>
  <c r="AB10" i="4" a="1"/>
  <c r="AW18" i="4" s="1"/>
  <c r="W10" i="4"/>
  <c r="V10" i="4"/>
  <c r="P10" i="4"/>
  <c r="O10" i="4"/>
  <c r="N10" i="4"/>
  <c r="W9" i="4"/>
  <c r="V9" i="4"/>
  <c r="P9" i="4"/>
  <c r="O9" i="4"/>
  <c r="N9" i="4"/>
  <c r="W8" i="4"/>
  <c r="V8" i="4"/>
  <c r="P8" i="4"/>
  <c r="O8" i="4"/>
  <c r="N8" i="4"/>
  <c r="W7" i="4"/>
  <c r="V7" i="4"/>
  <c r="P7" i="4"/>
  <c r="O7" i="4"/>
  <c r="N7" i="4"/>
  <c r="W6" i="4"/>
  <c r="V6" i="4"/>
  <c r="P6" i="4"/>
  <c r="O6" i="4"/>
  <c r="N6" i="4"/>
  <c r="W5" i="4"/>
  <c r="V5" i="4"/>
  <c r="P5" i="4"/>
  <c r="O5" i="4"/>
  <c r="N5" i="4"/>
  <c r="W4" i="4"/>
  <c r="V4" i="4"/>
  <c r="P4" i="4"/>
  <c r="O4" i="4"/>
  <c r="N4" i="4"/>
  <c r="W3" i="4"/>
  <c r="V3" i="4"/>
  <c r="P3" i="4"/>
  <c r="O3" i="4"/>
  <c r="N3" i="4"/>
  <c r="S77" i="3"/>
  <c r="S45" i="3"/>
  <c r="W9" i="3" a="1"/>
  <c r="AM17" i="3" s="1"/>
  <c r="W78" i="2"/>
  <c r="V78" i="2"/>
  <c r="P78" i="2"/>
  <c r="O78" i="2"/>
  <c r="N78" i="2"/>
  <c r="W77" i="2"/>
  <c r="V77" i="2"/>
  <c r="P77" i="2"/>
  <c r="O77" i="2"/>
  <c r="N77" i="2"/>
  <c r="W76" i="2"/>
  <c r="V76" i="2"/>
  <c r="P76" i="2"/>
  <c r="O76" i="2"/>
  <c r="N76" i="2"/>
  <c r="W75" i="2"/>
  <c r="V75" i="2"/>
  <c r="P75" i="2"/>
  <c r="O75" i="2"/>
  <c r="N75" i="2"/>
  <c r="W74" i="2"/>
  <c r="V74" i="2"/>
  <c r="P74" i="2"/>
  <c r="O74" i="2"/>
  <c r="N74" i="2"/>
  <c r="W73" i="2"/>
  <c r="V73" i="2"/>
  <c r="P73" i="2"/>
  <c r="O73" i="2"/>
  <c r="N73" i="2"/>
  <c r="W72" i="2"/>
  <c r="V72" i="2"/>
  <c r="P72" i="2"/>
  <c r="O72" i="2"/>
  <c r="N72" i="2"/>
  <c r="W71" i="2"/>
  <c r="V71" i="2"/>
  <c r="P71" i="2"/>
  <c r="O71" i="2"/>
  <c r="N71" i="2"/>
  <c r="W70" i="2"/>
  <c r="V70" i="2"/>
  <c r="P70" i="2"/>
  <c r="O70" i="2"/>
  <c r="N70" i="2"/>
  <c r="W69" i="2"/>
  <c r="V69" i="2"/>
  <c r="P69" i="2"/>
  <c r="O69" i="2"/>
  <c r="N69" i="2"/>
  <c r="W68" i="2"/>
  <c r="V68" i="2"/>
  <c r="P68" i="2"/>
  <c r="O68" i="2"/>
  <c r="N68" i="2"/>
  <c r="W67" i="2"/>
  <c r="V67" i="2"/>
  <c r="P67" i="2"/>
  <c r="O67" i="2"/>
  <c r="N67" i="2"/>
  <c r="W66" i="2"/>
  <c r="V66" i="2"/>
  <c r="P66" i="2"/>
  <c r="O66" i="2"/>
  <c r="N66" i="2"/>
  <c r="W65" i="2"/>
  <c r="V65" i="2"/>
  <c r="P65" i="2"/>
  <c r="O65" i="2"/>
  <c r="N65" i="2"/>
  <c r="W64" i="2"/>
  <c r="V64" i="2"/>
  <c r="P64" i="2"/>
  <c r="O64" i="2"/>
  <c r="N64" i="2"/>
  <c r="W63" i="2"/>
  <c r="V63" i="2"/>
  <c r="P63" i="2"/>
  <c r="O63" i="2"/>
  <c r="N63" i="2"/>
  <c r="W62" i="2"/>
  <c r="V62" i="2"/>
  <c r="P62" i="2"/>
  <c r="O62" i="2"/>
  <c r="N62" i="2"/>
  <c r="W61" i="2"/>
  <c r="V61" i="2"/>
  <c r="P61" i="2"/>
  <c r="O61" i="2"/>
  <c r="N61" i="2"/>
  <c r="W60" i="2"/>
  <c r="V60" i="2"/>
  <c r="P60" i="2"/>
  <c r="O60" i="2"/>
  <c r="N60" i="2"/>
  <c r="W59" i="2"/>
  <c r="V59" i="2"/>
  <c r="P59" i="2"/>
  <c r="O59" i="2"/>
  <c r="N59" i="2"/>
  <c r="W58" i="2"/>
  <c r="V58" i="2"/>
  <c r="P58" i="2"/>
  <c r="O58" i="2"/>
  <c r="N58" i="2"/>
  <c r="W57" i="2"/>
  <c r="V57" i="2"/>
  <c r="P57" i="2"/>
  <c r="O57" i="2"/>
  <c r="N57" i="2"/>
  <c r="W56" i="2"/>
  <c r="V56" i="2"/>
  <c r="P56" i="2"/>
  <c r="O56" i="2"/>
  <c r="N56" i="2"/>
  <c r="W55" i="2"/>
  <c r="V55" i="2"/>
  <c r="P55" i="2"/>
  <c r="O55" i="2"/>
  <c r="N55" i="2"/>
  <c r="W54" i="2"/>
  <c r="V54" i="2"/>
  <c r="P54" i="2"/>
  <c r="O54" i="2"/>
  <c r="N54" i="2"/>
  <c r="W53" i="2"/>
  <c r="V53" i="2"/>
  <c r="P53" i="2"/>
  <c r="O53" i="2"/>
  <c r="N53" i="2"/>
  <c r="W52" i="2"/>
  <c r="V52" i="2"/>
  <c r="P52" i="2"/>
  <c r="O52" i="2"/>
  <c r="N52" i="2"/>
  <c r="W51" i="2"/>
  <c r="V51" i="2"/>
  <c r="P51" i="2"/>
  <c r="O51" i="2"/>
  <c r="N51" i="2"/>
  <c r="W50" i="2"/>
  <c r="V50" i="2"/>
  <c r="P50" i="2"/>
  <c r="O50" i="2"/>
  <c r="N50" i="2"/>
  <c r="W49" i="2"/>
  <c r="V49" i="2"/>
  <c r="P49" i="2"/>
  <c r="O49" i="2"/>
  <c r="N49" i="2"/>
  <c r="W48" i="2"/>
  <c r="V48" i="2"/>
  <c r="P48" i="2"/>
  <c r="O48" i="2"/>
  <c r="N48" i="2"/>
  <c r="W47" i="2"/>
  <c r="V47" i="2"/>
  <c r="P47" i="2"/>
  <c r="O47" i="2"/>
  <c r="N47" i="2"/>
  <c r="W46" i="2"/>
  <c r="V46" i="2"/>
  <c r="P46" i="2"/>
  <c r="O46" i="2"/>
  <c r="N46" i="2"/>
  <c r="W45" i="2"/>
  <c r="V45" i="2"/>
  <c r="P45" i="2"/>
  <c r="O45" i="2"/>
  <c r="N45" i="2"/>
  <c r="W44" i="2"/>
  <c r="V44" i="2"/>
  <c r="P44" i="2"/>
  <c r="O44" i="2"/>
  <c r="N44" i="2"/>
  <c r="W43" i="2"/>
  <c r="V43" i="2"/>
  <c r="P43" i="2"/>
  <c r="O43" i="2"/>
  <c r="N43" i="2"/>
  <c r="W42" i="2"/>
  <c r="V42" i="2"/>
  <c r="P42" i="2"/>
  <c r="O42" i="2"/>
  <c r="N42" i="2"/>
  <c r="W41" i="2"/>
  <c r="V41" i="2"/>
  <c r="P41" i="2"/>
  <c r="O41" i="2"/>
  <c r="N41" i="2"/>
  <c r="W40" i="2"/>
  <c r="V40" i="2"/>
  <c r="P40" i="2"/>
  <c r="O40" i="2"/>
  <c r="N40" i="2"/>
  <c r="W39" i="2"/>
  <c r="V39" i="2"/>
  <c r="P39" i="2"/>
  <c r="O39" i="2"/>
  <c r="N39" i="2"/>
  <c r="W38" i="2"/>
  <c r="V38" i="2"/>
  <c r="P38" i="2"/>
  <c r="O38" i="2"/>
  <c r="N38" i="2"/>
  <c r="W37" i="2"/>
  <c r="V37" i="2"/>
  <c r="P37" i="2"/>
  <c r="O37" i="2"/>
  <c r="N37" i="2"/>
  <c r="W36" i="2"/>
  <c r="V36" i="2"/>
  <c r="P36" i="2"/>
  <c r="O36" i="2"/>
  <c r="N36" i="2"/>
  <c r="W35" i="2"/>
  <c r="V35" i="2"/>
  <c r="P35" i="2"/>
  <c r="O35" i="2"/>
  <c r="N35" i="2"/>
  <c r="W34" i="2"/>
  <c r="V34" i="2"/>
  <c r="P34" i="2"/>
  <c r="O34" i="2"/>
  <c r="N34" i="2"/>
  <c r="W33" i="2"/>
  <c r="V33" i="2"/>
  <c r="P33" i="2"/>
  <c r="O33" i="2"/>
  <c r="N33" i="2"/>
  <c r="W32" i="2"/>
  <c r="V32" i="2"/>
  <c r="P32" i="2"/>
  <c r="O32" i="2"/>
  <c r="N32" i="2"/>
  <c r="W31" i="2"/>
  <c r="V31" i="2"/>
  <c r="P31" i="2"/>
  <c r="O31" i="2"/>
  <c r="N31" i="2"/>
  <c r="W30" i="2"/>
  <c r="V30" i="2"/>
  <c r="P30" i="2"/>
  <c r="O30" i="2"/>
  <c r="N30" i="2"/>
  <c r="W29" i="2"/>
  <c r="V29" i="2"/>
  <c r="P29" i="2"/>
  <c r="O29" i="2"/>
  <c r="N29" i="2"/>
  <c r="W28" i="2"/>
  <c r="V28" i="2"/>
  <c r="P28" i="2"/>
  <c r="O28" i="2"/>
  <c r="N28" i="2"/>
  <c r="W27" i="2"/>
  <c r="V27" i="2"/>
  <c r="P27" i="2"/>
  <c r="O27" i="2"/>
  <c r="N27" i="2"/>
  <c r="W26" i="2"/>
  <c r="V26" i="2"/>
  <c r="P26" i="2"/>
  <c r="O26" i="2"/>
  <c r="N26" i="2"/>
  <c r="W25" i="2"/>
  <c r="V25" i="2"/>
  <c r="P25" i="2"/>
  <c r="O25" i="2"/>
  <c r="N25" i="2"/>
  <c r="W24" i="2"/>
  <c r="V24" i="2"/>
  <c r="P24" i="2"/>
  <c r="O24" i="2"/>
  <c r="N24" i="2"/>
  <c r="W23" i="2"/>
  <c r="V23" i="2"/>
  <c r="P23" i="2"/>
  <c r="O23" i="2"/>
  <c r="N23" i="2"/>
  <c r="W22" i="2"/>
  <c r="V22" i="2"/>
  <c r="P22" i="2"/>
  <c r="O22" i="2"/>
  <c r="N22" i="2"/>
  <c r="W21" i="2"/>
  <c r="V21" i="2"/>
  <c r="P21" i="2"/>
  <c r="O21" i="2"/>
  <c r="N21" i="2"/>
  <c r="W20" i="2"/>
  <c r="V20" i="2"/>
  <c r="P20" i="2"/>
  <c r="O20" i="2"/>
  <c r="N20" i="2"/>
  <c r="W19" i="2"/>
  <c r="V19" i="2"/>
  <c r="P19" i="2"/>
  <c r="O19" i="2"/>
  <c r="N19" i="2"/>
  <c r="W18" i="2"/>
  <c r="V18" i="2"/>
  <c r="P18" i="2"/>
  <c r="O18" i="2"/>
  <c r="N18" i="2"/>
  <c r="W17" i="2"/>
  <c r="V17" i="2"/>
  <c r="P17" i="2"/>
  <c r="O17" i="2"/>
  <c r="N17" i="2"/>
  <c r="W16" i="2"/>
  <c r="V16" i="2"/>
  <c r="P16" i="2"/>
  <c r="O16" i="2"/>
  <c r="N16" i="2"/>
  <c r="W15" i="2"/>
  <c r="V15" i="2"/>
  <c r="P15" i="2"/>
  <c r="O15" i="2"/>
  <c r="N15" i="2"/>
  <c r="W14" i="2"/>
  <c r="V14" i="2"/>
  <c r="P14" i="2"/>
  <c r="O14" i="2"/>
  <c r="N14" i="2"/>
  <c r="W13" i="2"/>
  <c r="V13" i="2"/>
  <c r="P13" i="2"/>
  <c r="O13" i="2"/>
  <c r="N13" i="2"/>
  <c r="W12" i="2"/>
  <c r="V12" i="2"/>
  <c r="P12" i="2"/>
  <c r="O12" i="2"/>
  <c r="N12" i="2"/>
  <c r="W11" i="2"/>
  <c r="V11" i="2"/>
  <c r="P11" i="2"/>
  <c r="O11" i="2"/>
  <c r="N11" i="2"/>
  <c r="W10" i="2"/>
  <c r="V10" i="2"/>
  <c r="P10" i="2"/>
  <c r="O10" i="2"/>
  <c r="N10" i="2"/>
  <c r="AB9" i="2" a="1"/>
  <c r="AR9" i="2" s="1"/>
  <c r="V9" i="2"/>
  <c r="P9" i="2"/>
  <c r="O9" i="2"/>
  <c r="N9" i="2"/>
  <c r="W8" i="2"/>
  <c r="V8" i="2"/>
  <c r="P8" i="2"/>
  <c r="O8" i="2"/>
  <c r="N8" i="2"/>
  <c r="W7" i="2"/>
  <c r="V7" i="2"/>
  <c r="P7" i="2"/>
  <c r="O7" i="2"/>
  <c r="N7" i="2"/>
  <c r="V6" i="2"/>
  <c r="P6" i="2"/>
  <c r="O6" i="2"/>
  <c r="N6" i="2"/>
  <c r="V5" i="2"/>
  <c r="P5" i="2"/>
  <c r="O5" i="2"/>
  <c r="N5" i="2"/>
  <c r="W4" i="2"/>
  <c r="V4" i="2"/>
  <c r="P4" i="2"/>
  <c r="O4" i="2"/>
  <c r="N4" i="2"/>
  <c r="W3" i="2"/>
  <c r="P3" i="2"/>
  <c r="O3" i="2"/>
  <c r="N3" i="2"/>
  <c r="I4" i="7" l="1"/>
  <c r="X16" i="5"/>
  <c r="X32" i="5"/>
  <c r="X66" i="2"/>
  <c r="X48" i="5"/>
  <c r="X19" i="5"/>
  <c r="X35" i="5"/>
  <c r="X51" i="5"/>
  <c r="X48" i="2"/>
  <c r="X5" i="4"/>
  <c r="S66" i="3"/>
  <c r="X40" i="4"/>
  <c r="X67" i="5"/>
  <c r="AG18" i="3"/>
  <c r="AL18" i="5"/>
  <c r="AR10" i="3"/>
  <c r="AS10" i="3"/>
  <c r="AE11" i="3"/>
  <c r="AH11" i="3"/>
  <c r="AK11" i="3"/>
  <c r="AS11" i="3"/>
  <c r="W13" i="3"/>
  <c r="AA13" i="3"/>
  <c r="X13" i="2"/>
  <c r="AM13" i="3"/>
  <c r="X10" i="2"/>
  <c r="AG15" i="3"/>
  <c r="X29" i="2"/>
  <c r="X26" i="2"/>
  <c r="X42" i="2"/>
  <c r="AH15" i="3"/>
  <c r="W17" i="3"/>
  <c r="Z17" i="3"/>
  <c r="AB17" i="3"/>
  <c r="AF18" i="3"/>
  <c r="AI18" i="5"/>
  <c r="X27" i="2"/>
  <c r="X43" i="2"/>
  <c r="AE17" i="3"/>
  <c r="X28" i="4"/>
  <c r="S73" i="3"/>
  <c r="X79" i="4"/>
  <c r="X18" i="3"/>
  <c r="S35" i="3"/>
  <c r="X73" i="4"/>
  <c r="AB10" i="5"/>
  <c r="S25" i="3"/>
  <c r="S57" i="3"/>
  <c r="AN13" i="3"/>
  <c r="AJ18" i="3"/>
  <c r="AF9" i="3"/>
  <c r="AB14" i="3"/>
  <c r="AK18" i="3"/>
  <c r="AI9" i="3"/>
  <c r="AN14" i="3"/>
  <c r="AO18" i="3"/>
  <c r="AE15" i="5"/>
  <c r="AN9" i="3"/>
  <c r="AO14" i="3"/>
  <c r="S26" i="3"/>
  <c r="S42" i="3"/>
  <c r="S58" i="3"/>
  <c r="S74" i="3"/>
  <c r="AO16" i="5"/>
  <c r="X13" i="5"/>
  <c r="X75" i="2"/>
  <c r="AQ9" i="3"/>
  <c r="AP14" i="3"/>
  <c r="S23" i="3"/>
  <c r="S71" i="3"/>
  <c r="X13" i="4"/>
  <c r="X29" i="4"/>
  <c r="X45" i="4"/>
  <c r="AR16" i="5"/>
  <c r="X72" i="2"/>
  <c r="AK10" i="3"/>
  <c r="AR14" i="3"/>
  <c r="AS16" i="5"/>
  <c r="AQ10" i="3"/>
  <c r="AC15" i="3"/>
  <c r="X23" i="4"/>
  <c r="AH18" i="5"/>
  <c r="X52" i="5"/>
  <c r="X68" i="5"/>
  <c r="S30" i="3"/>
  <c r="X30" i="4"/>
  <c r="X39" i="2"/>
  <c r="S31" i="3"/>
  <c r="S63" i="3"/>
  <c r="S79" i="3"/>
  <c r="X21" i="4"/>
  <c r="X23" i="2"/>
  <c r="X14" i="4"/>
  <c r="X49" i="2"/>
  <c r="S76" i="3"/>
  <c r="D9" i="6"/>
  <c r="E9" i="6" s="1"/>
  <c r="D3" i="6"/>
  <c r="E3" i="6" s="1"/>
  <c r="AW9" i="2"/>
  <c r="X16" i="2"/>
  <c r="AD14" i="4"/>
  <c r="X34" i="4"/>
  <c r="X66" i="4"/>
  <c r="X73" i="2"/>
  <c r="AH11" i="4"/>
  <c r="AL14" i="4"/>
  <c r="AD18" i="4"/>
  <c r="X60" i="4"/>
  <c r="AM11" i="4"/>
  <c r="AO14" i="4"/>
  <c r="AL18" i="4"/>
  <c r="X38" i="4"/>
  <c r="AJ11" i="5"/>
  <c r="AS9" i="2"/>
  <c r="AG10" i="4"/>
  <c r="AF13" i="4"/>
  <c r="AV16" i="4"/>
  <c r="AT9" i="2"/>
  <c r="S27" i="3"/>
  <c r="AH10" i="4"/>
  <c r="AK13" i="4"/>
  <c r="AJ17" i="4"/>
  <c r="AV9" i="2"/>
  <c r="X28" i="2"/>
  <c r="S18" i="3"/>
  <c r="AK10" i="4"/>
  <c r="AR13" i="4"/>
  <c r="AV17" i="4"/>
  <c r="X4" i="5"/>
  <c r="X22" i="2"/>
  <c r="AP10" i="4"/>
  <c r="AW17" i="4"/>
  <c r="X72" i="4"/>
  <c r="AS10" i="4"/>
  <c r="AK14" i="4"/>
  <c r="AC18" i="4"/>
  <c r="AV19" i="5"/>
  <c r="X52" i="2"/>
  <c r="S48" i="3"/>
  <c r="AP11" i="4"/>
  <c r="AP14" i="4"/>
  <c r="AO18" i="4"/>
  <c r="X16" i="4"/>
  <c r="AM11" i="5"/>
  <c r="AT11" i="4"/>
  <c r="AH15" i="4"/>
  <c r="AM19" i="4"/>
  <c r="AI12" i="3"/>
  <c r="Z16" i="3"/>
  <c r="AB12" i="4"/>
  <c r="AQ15" i="4"/>
  <c r="AP19" i="4"/>
  <c r="X71" i="4"/>
  <c r="AD13" i="5"/>
  <c r="X3" i="2"/>
  <c r="AB9" i="3"/>
  <c r="AN12" i="3"/>
  <c r="AE16" i="3"/>
  <c r="AE12" i="4"/>
  <c r="AX15" i="4"/>
  <c r="AQ19" i="4"/>
  <c r="X76" i="5"/>
  <c r="X61" i="2"/>
  <c r="AC9" i="3"/>
  <c r="AP12" i="3"/>
  <c r="AG16" i="3"/>
  <c r="AQ12" i="4"/>
  <c r="AB16" i="4"/>
  <c r="AT19" i="4"/>
  <c r="X52" i="4"/>
  <c r="AQ14" i="5"/>
  <c r="X37" i="5"/>
  <c r="X41" i="5"/>
  <c r="X73" i="5"/>
  <c r="AB13" i="4"/>
  <c r="AM16" i="4"/>
  <c r="X59" i="2"/>
  <c r="AD10" i="4"/>
  <c r="AC13" i="4"/>
  <c r="AU16" i="4"/>
  <c r="X78" i="4"/>
  <c r="AQ11" i="4"/>
  <c r="AE15" i="4"/>
  <c r="AH19" i="4"/>
  <c r="AN11" i="5"/>
  <c r="X30" i="2"/>
  <c r="AC13" i="5"/>
  <c r="X6" i="2"/>
  <c r="X14" i="2"/>
  <c r="X77" i="2"/>
  <c r="X9" i="5"/>
  <c r="X21" i="2"/>
  <c r="AG13" i="5"/>
  <c r="X58" i="2"/>
  <c r="S4" i="3"/>
  <c r="AE9" i="3"/>
  <c r="AQ12" i="3"/>
  <c r="AR16" i="3"/>
  <c r="AV12" i="4"/>
  <c r="AE16" i="4"/>
  <c r="X38" i="5"/>
  <c r="X70" i="5"/>
  <c r="D8" i="6"/>
  <c r="E8" i="6" s="1"/>
  <c r="AP19" i="5"/>
  <c r="AE19" i="5"/>
  <c r="AS17" i="5"/>
  <c r="AJ16" i="5"/>
  <c r="AX14" i="5"/>
  <c r="AO13" i="5"/>
  <c r="AF12" i="5"/>
  <c r="AT10" i="5"/>
  <c r="AB19" i="5"/>
  <c r="AP17" i="5"/>
  <c r="AG16" i="5"/>
  <c r="AU14" i="5"/>
  <c r="AL13" i="5"/>
  <c r="AC12" i="5"/>
  <c r="AQ10" i="5"/>
  <c r="AX18" i="5"/>
  <c r="AO17" i="5"/>
  <c r="AF16" i="5"/>
  <c r="AT14" i="5"/>
  <c r="AK13" i="5"/>
  <c r="AB12" i="5"/>
  <c r="AP10" i="5"/>
  <c r="AQ11" i="5"/>
  <c r="AH13" i="5"/>
  <c r="AF15" i="5"/>
  <c r="AV16" i="5"/>
  <c r="AM18" i="5"/>
  <c r="X43" i="5"/>
  <c r="X20" i="2"/>
  <c r="X51" i="2"/>
  <c r="AH9" i="3"/>
  <c r="AG11" i="3"/>
  <c r="X13" i="3"/>
  <c r="Y15" i="3"/>
  <c r="X17" i="3"/>
  <c r="AN18" i="3"/>
  <c r="S16" i="3"/>
  <c r="S19" i="3"/>
  <c r="AL10" i="4"/>
  <c r="AU11" i="4"/>
  <c r="AG13" i="4"/>
  <c r="AS14" i="4"/>
  <c r="AN16" i="4"/>
  <c r="AG18" i="4"/>
  <c r="AU19" i="4"/>
  <c r="X20" i="4"/>
  <c r="X39" i="4"/>
  <c r="X61" i="4"/>
  <c r="X64" i="4"/>
  <c r="X5" i="5"/>
  <c r="X8" i="5"/>
  <c r="AD10" i="5"/>
  <c r="AR11" i="5"/>
  <c r="AP13" i="5"/>
  <c r="AI15" i="5"/>
  <c r="AW16" i="5"/>
  <c r="AP18" i="5"/>
  <c r="X18" i="5"/>
  <c r="X21" i="5"/>
  <c r="X75" i="5"/>
  <c r="D4" i="6"/>
  <c r="E4" i="6" s="1"/>
  <c r="X48" i="4"/>
  <c r="X70" i="4"/>
  <c r="X36" i="2"/>
  <c r="S5" i="3"/>
  <c r="S22" i="3"/>
  <c r="S32" i="3"/>
  <c r="S51" i="3"/>
  <c r="X6" i="4"/>
  <c r="AM10" i="4"/>
  <c r="AV11" i="4"/>
  <c r="AH13" i="4"/>
  <c r="AT14" i="4"/>
  <c r="AQ16" i="4"/>
  <c r="AH18" i="4"/>
  <c r="AX19" i="4"/>
  <c r="X42" i="4"/>
  <c r="X55" i="4"/>
  <c r="X58" i="4"/>
  <c r="AE10" i="5"/>
  <c r="AU11" i="5"/>
  <c r="AS13" i="5"/>
  <c r="AJ15" i="5"/>
  <c r="AC17" i="5"/>
  <c r="AQ18" i="5"/>
  <c r="S75" i="3"/>
  <c r="S28" i="3"/>
  <c r="X26" i="4"/>
  <c r="X69" i="2"/>
  <c r="S47" i="3"/>
  <c r="S60" i="3"/>
  <c r="X67" i="4"/>
  <c r="X8" i="2"/>
  <c r="X33" i="2"/>
  <c r="X55" i="2"/>
  <c r="X63" i="2"/>
  <c r="S8" i="3"/>
  <c r="X9" i="2"/>
  <c r="X76" i="2"/>
  <c r="AM9" i="3"/>
  <c r="AJ11" i="3"/>
  <c r="AL13" i="3"/>
  <c r="AD15" i="3"/>
  <c r="AA17" i="3"/>
  <c r="S13" i="3"/>
  <c r="S29" i="3"/>
  <c r="S54" i="3"/>
  <c r="S67" i="3"/>
  <c r="S70" i="3"/>
  <c r="X3" i="4"/>
  <c r="X9" i="4"/>
  <c r="AO10" i="4"/>
  <c r="AX11" i="4"/>
  <c r="AJ13" i="4"/>
  <c r="AD15" i="4"/>
  <c r="AR16" i="4"/>
  <c r="AK18" i="4"/>
  <c r="X27" i="4"/>
  <c r="X36" i="4"/>
  <c r="X77" i="4"/>
  <c r="X80" i="4"/>
  <c r="AH10" i="5"/>
  <c r="AV11" i="5"/>
  <c r="AT13" i="5"/>
  <c r="AM15" i="5"/>
  <c r="AD17" i="5"/>
  <c r="AT18" i="5"/>
  <c r="X32" i="4"/>
  <c r="X54" i="4"/>
  <c r="X11" i="5"/>
  <c r="S41" i="3"/>
  <c r="X46" i="2"/>
  <c r="X24" i="4"/>
  <c r="AJ12" i="5"/>
  <c r="AX13" i="5"/>
  <c r="AQ15" i="5"/>
  <c r="AH17" i="5"/>
  <c r="X40" i="2"/>
  <c r="AR9" i="3"/>
  <c r="AO15" i="3"/>
  <c r="S17" i="3"/>
  <c r="S39" i="3"/>
  <c r="S55" i="3"/>
  <c r="AT10" i="4"/>
  <c r="AF12" i="4"/>
  <c r="AS13" i="4"/>
  <c r="AI15" i="4"/>
  <c r="AB17" i="4"/>
  <c r="AP18" i="4"/>
  <c r="X59" i="4"/>
  <c r="X68" i="4"/>
  <c r="AM10" i="5"/>
  <c r="AK12" i="5"/>
  <c r="AD14" i="5"/>
  <c r="AR15" i="5"/>
  <c r="AK17" i="5"/>
  <c r="AI19" i="5"/>
  <c r="X69" i="5"/>
  <c r="AG12" i="5"/>
  <c r="AU18" i="5"/>
  <c r="X74" i="4"/>
  <c r="AL10" i="5"/>
  <c r="AF19" i="5"/>
  <c r="X18" i="2"/>
  <c r="X37" i="2"/>
  <c r="S9" i="3"/>
  <c r="W12" i="3"/>
  <c r="AQ13" i="3"/>
  <c r="AI17" i="3"/>
  <c r="AF10" i="3"/>
  <c r="X12" i="3"/>
  <c r="AR13" i="3"/>
  <c r="AP15" i="3"/>
  <c r="AJ17" i="3"/>
  <c r="S20" i="3"/>
  <c r="S61" i="3"/>
  <c r="S68" i="3"/>
  <c r="X10" i="4"/>
  <c r="AW10" i="4"/>
  <c r="AM12" i="4"/>
  <c r="AV13" i="4"/>
  <c r="AL15" i="4"/>
  <c r="AC17" i="4"/>
  <c r="AS18" i="4"/>
  <c r="AU10" i="5"/>
  <c r="AN12" i="5"/>
  <c r="AE14" i="5"/>
  <c r="AU15" i="5"/>
  <c r="AL17" i="5"/>
  <c r="AJ19" i="5"/>
  <c r="X31" i="5"/>
  <c r="X54" i="2"/>
  <c r="X76" i="4"/>
  <c r="AN15" i="5"/>
  <c r="S10" i="3"/>
  <c r="AJ9" i="2"/>
  <c r="AO9" i="2"/>
  <c r="AN9" i="2"/>
  <c r="AG10" i="3"/>
  <c r="Z12" i="3"/>
  <c r="X14" i="3"/>
  <c r="AS15" i="3"/>
  <c r="AK17" i="3"/>
  <c r="S11" i="3"/>
  <c r="S33" i="3"/>
  <c r="S36" i="3"/>
  <c r="S49" i="3"/>
  <c r="S52" i="3"/>
  <c r="S65" i="3"/>
  <c r="AX10" i="4"/>
  <c r="AN12" i="4"/>
  <c r="AW13" i="4"/>
  <c r="AM15" i="4"/>
  <c r="AF17" i="4"/>
  <c r="AT18" i="4"/>
  <c r="AX10" i="5"/>
  <c r="AO12" i="5"/>
  <c r="AH14" i="5"/>
  <c r="AV15" i="5"/>
  <c r="AT17" i="5"/>
  <c r="AM19" i="5"/>
  <c r="X63" i="5"/>
  <c r="X32" i="2"/>
  <c r="S12" i="3"/>
  <c r="S50" i="3"/>
  <c r="AG17" i="5"/>
  <c r="X11" i="2"/>
  <c r="X12" i="2"/>
  <c r="X34" i="2"/>
  <c r="X47" i="2"/>
  <c r="X50" i="2"/>
  <c r="AJ10" i="3"/>
  <c r="AH12" i="3"/>
  <c r="Z14" i="3"/>
  <c r="W16" i="3"/>
  <c r="AF11" i="4"/>
  <c r="AO12" i="4"/>
  <c r="AC14" i="4"/>
  <c r="AP15" i="4"/>
  <c r="AG17" i="4"/>
  <c r="AB11" i="5"/>
  <c r="AR12" i="5"/>
  <c r="AI14" i="5"/>
  <c r="AB16" i="5"/>
  <c r="AW17" i="5"/>
  <c r="AN19" i="5"/>
  <c r="X25" i="5"/>
  <c r="X29" i="5"/>
  <c r="X45" i="5"/>
  <c r="X64" i="5"/>
  <c r="X80" i="5"/>
  <c r="AE11" i="5"/>
  <c r="AS12" i="5"/>
  <c r="AL14" i="5"/>
  <c r="AC16" i="5"/>
  <c r="AX17" i="5"/>
  <c r="AQ19" i="5"/>
  <c r="X26" i="5"/>
  <c r="X42" i="5"/>
  <c r="X57" i="5"/>
  <c r="X61" i="5"/>
  <c r="X77" i="5"/>
  <c r="AI10" i="5"/>
  <c r="AW13" i="5"/>
  <c r="S43" i="3"/>
  <c r="X50" i="4"/>
  <c r="X19" i="2"/>
  <c r="X44" i="2"/>
  <c r="AS18" i="3"/>
  <c r="AD18" i="3"/>
  <c r="AI16" i="3"/>
  <c r="X15" i="3"/>
  <c r="AJ13" i="3"/>
  <c r="AO11" i="3"/>
  <c r="AC10" i="3"/>
  <c r="AC18" i="3"/>
  <c r="AH16" i="3"/>
  <c r="AS14" i="3"/>
  <c r="AB13" i="3"/>
  <c r="AL11" i="3"/>
  <c r="AB10" i="3"/>
  <c r="AL10" i="3"/>
  <c r="AL12" i="3"/>
  <c r="AC14" i="3"/>
  <c r="AA16" i="3"/>
  <c r="Y18" i="3"/>
  <c r="S62" i="3"/>
  <c r="S72" i="3"/>
  <c r="AK19" i="4"/>
  <c r="AE19" i="4"/>
  <c r="AS17" i="4"/>
  <c r="AJ16" i="4"/>
  <c r="AX14" i="4"/>
  <c r="AO13" i="4"/>
  <c r="AJ12" i="4"/>
  <c r="AE11" i="4"/>
  <c r="AD19" i="4"/>
  <c r="AR17" i="4"/>
  <c r="AI16" i="4"/>
  <c r="AW14" i="4"/>
  <c r="AN13" i="4"/>
  <c r="AI12" i="4"/>
  <c r="AD11" i="4"/>
  <c r="AX18" i="4"/>
  <c r="AO17" i="4"/>
  <c r="AF16" i="4"/>
  <c r="AI11" i="4"/>
  <c r="AR12" i="4"/>
  <c r="AG14" i="4"/>
  <c r="AT15" i="4"/>
  <c r="AK17" i="4"/>
  <c r="AI19" i="4"/>
  <c r="X19" i="4"/>
  <c r="X22" i="4"/>
  <c r="X7" i="5"/>
  <c r="X10" i="5"/>
  <c r="AF11" i="5"/>
  <c r="AV12" i="5"/>
  <c r="AM14" i="5"/>
  <c r="AK16" i="5"/>
  <c r="AD18" i="5"/>
  <c r="AR19" i="5"/>
  <c r="X23" i="5"/>
  <c r="X39" i="5"/>
  <c r="X58" i="5"/>
  <c r="X74" i="5"/>
  <c r="S21" i="3"/>
  <c r="D6" i="6"/>
  <c r="E6" i="6" s="1"/>
  <c r="X41" i="2"/>
  <c r="X68" i="2"/>
  <c r="X71" i="2"/>
  <c r="X47" i="4"/>
  <c r="X65" i="2"/>
  <c r="X4" i="2"/>
  <c r="X35" i="2"/>
  <c r="X38" i="2"/>
  <c r="X57" i="2"/>
  <c r="X62" i="2"/>
  <c r="AA9" i="3"/>
  <c r="AO10" i="3"/>
  <c r="AM12" i="3"/>
  <c r="AE14" i="3"/>
  <c r="AB16" i="3"/>
  <c r="AB18" i="3"/>
  <c r="S56" i="3"/>
  <c r="S69" i="3"/>
  <c r="X4" i="4"/>
  <c r="X8" i="4"/>
  <c r="AC10" i="4"/>
  <c r="AL11" i="4"/>
  <c r="AU12" i="4"/>
  <c r="AH14" i="4"/>
  <c r="AU15" i="4"/>
  <c r="AN17" i="4"/>
  <c r="AL19" i="4"/>
  <c r="X41" i="4"/>
  <c r="X44" i="4"/>
  <c r="X57" i="4"/>
  <c r="AI11" i="5"/>
  <c r="AW12" i="5"/>
  <c r="AP14" i="5"/>
  <c r="AN16" i="5"/>
  <c r="AE18" i="5"/>
  <c r="AU19" i="5"/>
  <c r="X17" i="5"/>
  <c r="X20" i="5"/>
  <c r="X36" i="5"/>
  <c r="X55" i="5"/>
  <c r="X71" i="5"/>
  <c r="X15" i="4"/>
  <c r="X18" i="4"/>
  <c r="X46" i="4"/>
  <c r="X62" i="4"/>
  <c r="X6" i="5"/>
  <c r="X15" i="5"/>
  <c r="X50" i="5"/>
  <c r="X53" i="5"/>
  <c r="X7" i="2"/>
  <c r="X15" i="2"/>
  <c r="X24" i="2"/>
  <c r="X67" i="2"/>
  <c r="X53" i="4"/>
  <c r="X56" i="4"/>
  <c r="X12" i="5"/>
  <c r="X47" i="5"/>
  <c r="X53" i="2"/>
  <c r="X56" i="2"/>
  <c r="X74" i="2"/>
  <c r="S6" i="3"/>
  <c r="S15" i="3"/>
  <c r="S34" i="3"/>
  <c r="S37" i="3"/>
  <c r="S53" i="3"/>
  <c r="S59" i="3"/>
  <c r="X12" i="4"/>
  <c r="X25" i="4"/>
  <c r="X44" i="5"/>
  <c r="X79" i="5"/>
  <c r="D5" i="6"/>
  <c r="E5" i="6" s="1"/>
  <c r="X60" i="2"/>
  <c r="S3" i="3"/>
  <c r="AJ9" i="3"/>
  <c r="AN10" i="3"/>
  <c r="AP11" i="3"/>
  <c r="AS12" i="3"/>
  <c r="Y14" i="3"/>
  <c r="Z15" i="3"/>
  <c r="AD16" i="3"/>
  <c r="AF17" i="3"/>
  <c r="AI18" i="3"/>
  <c r="S14" i="3"/>
  <c r="S40" i="3"/>
  <c r="X33" i="4"/>
  <c r="X65" i="4"/>
  <c r="X24" i="5"/>
  <c r="X56" i="5"/>
  <c r="D7" i="6"/>
  <c r="E7" i="6" s="1"/>
  <c r="AD9" i="2"/>
  <c r="AF9" i="2"/>
  <c r="X5" i="2"/>
  <c r="AS9" i="3"/>
  <c r="Y11" i="3"/>
  <c r="AA12" i="3"/>
  <c r="AE13" i="3"/>
  <c r="AF14" i="3"/>
  <c r="AI15" i="3"/>
  <c r="AL16" i="3"/>
  <c r="AR18" i="3"/>
  <c r="X31" i="4"/>
  <c r="X63" i="4"/>
  <c r="X22" i="5"/>
  <c r="X54" i="5"/>
  <c r="AG9" i="2"/>
  <c r="X25" i="2"/>
  <c r="X78" i="2"/>
  <c r="AN17" i="3"/>
  <c r="AI9" i="2"/>
  <c r="X45" i="2"/>
  <c r="X64" i="2"/>
  <c r="X10" i="3"/>
  <c r="Z11" i="3"/>
  <c r="AC12" i="3"/>
  <c r="AF13" i="3"/>
  <c r="AG14" i="3"/>
  <c r="AK15" i="3"/>
  <c r="AM16" i="3"/>
  <c r="AP17" i="3"/>
  <c r="S24" i="3"/>
  <c r="X37" i="4"/>
  <c r="X69" i="4"/>
  <c r="X28" i="5"/>
  <c r="X60" i="5"/>
  <c r="AQ18" i="3"/>
  <c r="AA18" i="3"/>
  <c r="AH17" i="3"/>
  <c r="AO16" i="3"/>
  <c r="Y16" i="3"/>
  <c r="AF15" i="3"/>
  <c r="AM14" i="3"/>
  <c r="W14" i="3"/>
  <c r="AD13" i="3"/>
  <c r="AK12" i="3"/>
  <c r="AR11" i="3"/>
  <c r="AB11" i="3"/>
  <c r="AI10" i="3"/>
  <c r="AP9" i="3"/>
  <c r="Z9" i="3"/>
  <c r="AP18" i="3"/>
  <c r="Z18" i="3"/>
  <c r="AG17" i="3"/>
  <c r="AN16" i="3"/>
  <c r="X16" i="3"/>
  <c r="AE15" i="3"/>
  <c r="AL14" i="3"/>
  <c r="AS13" i="3"/>
  <c r="AC13" i="3"/>
  <c r="AJ12" i="3"/>
  <c r="AQ11" i="3"/>
  <c r="AA11" i="3"/>
  <c r="AH10" i="3"/>
  <c r="AO9" i="3"/>
  <c r="Y9" i="3"/>
  <c r="AM18" i="3"/>
  <c r="W18" i="3"/>
  <c r="AD17" i="3"/>
  <c r="AK16" i="3"/>
  <c r="AR15" i="3"/>
  <c r="AB15" i="3"/>
  <c r="AI14" i="3"/>
  <c r="AP13" i="3"/>
  <c r="Z13" i="3"/>
  <c r="AG12" i="3"/>
  <c r="AN11" i="3"/>
  <c r="X11" i="3"/>
  <c r="AE10" i="3"/>
  <c r="AL9" i="3"/>
  <c r="W9" i="3"/>
  <c r="AL18" i="3"/>
  <c r="AS17" i="3"/>
  <c r="AC17" i="3"/>
  <c r="AJ16" i="3"/>
  <c r="AQ15" i="3"/>
  <c r="AA15" i="3"/>
  <c r="AH14" i="3"/>
  <c r="AO13" i="3"/>
  <c r="Y13" i="3"/>
  <c r="AF12" i="3"/>
  <c r="AM11" i="3"/>
  <c r="W11" i="3"/>
  <c r="AD10" i="3"/>
  <c r="AK9" i="3"/>
  <c r="AH18" i="3"/>
  <c r="AO17" i="3"/>
  <c r="Y17" i="3"/>
  <c r="AF16" i="3"/>
  <c r="AM15" i="3"/>
  <c r="W15" i="3"/>
  <c r="AD14" i="3"/>
  <c r="AK13" i="3"/>
  <c r="AR12" i="3"/>
  <c r="AB12" i="3"/>
  <c r="AI11" i="3"/>
  <c r="AP10" i="3"/>
  <c r="Z10" i="3"/>
  <c r="AG9" i="3"/>
  <c r="AE18" i="3"/>
  <c r="AL17" i="3"/>
  <c r="AS16" i="3"/>
  <c r="AC16" i="3"/>
  <c r="AJ15" i="3"/>
  <c r="AQ14" i="3"/>
  <c r="AA14" i="3"/>
  <c r="AH13" i="3"/>
  <c r="AO12" i="3"/>
  <c r="Y12" i="3"/>
  <c r="AF11" i="3"/>
  <c r="AM10" i="3"/>
  <c r="W10" i="3"/>
  <c r="AD9" i="3"/>
  <c r="Y10" i="3"/>
  <c r="AC11" i="3"/>
  <c r="AD12" i="3"/>
  <c r="AG13" i="3"/>
  <c r="AJ14" i="3"/>
  <c r="AL15" i="3"/>
  <c r="AP16" i="3"/>
  <c r="AQ17" i="3"/>
  <c r="S38" i="3"/>
  <c r="S64" i="3"/>
  <c r="X11" i="4"/>
  <c r="X43" i="4"/>
  <c r="X75" i="4"/>
  <c r="X34" i="5"/>
  <c r="X66" i="5"/>
  <c r="AQ9" i="2"/>
  <c r="AB9" i="2"/>
  <c r="AP9" i="2"/>
  <c r="AM9" i="2"/>
  <c r="AL9" i="2"/>
  <c r="AX9" i="2"/>
  <c r="AH9" i="2"/>
  <c r="AU9" i="2"/>
  <c r="AE9" i="2"/>
  <c r="AC9" i="2"/>
  <c r="X31" i="2"/>
  <c r="S7" i="3"/>
  <c r="AK9" i="2"/>
  <c r="X17" i="2"/>
  <c r="X70" i="2"/>
  <c r="X9" i="3"/>
  <c r="AA10" i="3"/>
  <c r="AD11" i="3"/>
  <c r="AE12" i="3"/>
  <c r="AI13" i="3"/>
  <c r="AK14" i="3"/>
  <c r="AN15" i="3"/>
  <c r="AQ16" i="3"/>
  <c r="AR17" i="3"/>
  <c r="S44" i="3"/>
  <c r="S78" i="3"/>
  <c r="X7" i="4"/>
  <c r="X17" i="4"/>
  <c r="X49" i="4"/>
  <c r="X3" i="5"/>
  <c r="X40" i="5"/>
  <c r="X72" i="5"/>
  <c r="AR10" i="5"/>
  <c r="AK11" i="5"/>
  <c r="AD12" i="5"/>
  <c r="AT12" i="5"/>
  <c r="AM13" i="5"/>
  <c r="AF14" i="5"/>
  <c r="AV14" i="5"/>
  <c r="AO15" i="5"/>
  <c r="AH16" i="5"/>
  <c r="AX16" i="5"/>
  <c r="AQ17" i="5"/>
  <c r="AJ18" i="5"/>
  <c r="AC19" i="5"/>
  <c r="AS19" i="5"/>
  <c r="AX13" i="4"/>
  <c r="AQ14" i="4"/>
  <c r="AJ15" i="4"/>
  <c r="AC16" i="4"/>
  <c r="AS16" i="4"/>
  <c r="AL17" i="4"/>
  <c r="AE18" i="4"/>
  <c r="AU18" i="4"/>
  <c r="AN19" i="4"/>
  <c r="AN10" i="4"/>
  <c r="AG11" i="4"/>
  <c r="AW11" i="4"/>
  <c r="AP12" i="4"/>
  <c r="AI13" i="4"/>
  <c r="AB14" i="4"/>
  <c r="AR14" i="4"/>
  <c r="AK15" i="4"/>
  <c r="AD16" i="4"/>
  <c r="AT16" i="4"/>
  <c r="AM17" i="4"/>
  <c r="AF18" i="4"/>
  <c r="AV18" i="4"/>
  <c r="AO19" i="4"/>
  <c r="AC10" i="5"/>
  <c r="AS10" i="5"/>
  <c r="AL11" i="5"/>
  <c r="AE12" i="5"/>
  <c r="AU12" i="5"/>
  <c r="AN13" i="5"/>
  <c r="AG14" i="5"/>
  <c r="AW14" i="5"/>
  <c r="AP15" i="5"/>
  <c r="AI16" i="5"/>
  <c r="AB17" i="5"/>
  <c r="AR17" i="5"/>
  <c r="AK18" i="5"/>
  <c r="AD19" i="5"/>
  <c r="AT19" i="5"/>
  <c r="AB10" i="4"/>
  <c r="AQ10" i="4"/>
  <c r="AJ11" i="4"/>
  <c r="AC12" i="4"/>
  <c r="AS12" i="4"/>
  <c r="AL13" i="4"/>
  <c r="AE14" i="4"/>
  <c r="AU14" i="4"/>
  <c r="AN15" i="4"/>
  <c r="AG16" i="4"/>
  <c r="AW16" i="4"/>
  <c r="AP17" i="4"/>
  <c r="AI18" i="4"/>
  <c r="AB19" i="4"/>
  <c r="AR19" i="4"/>
  <c r="AF10" i="5"/>
  <c r="AV10" i="5"/>
  <c r="AO11" i="5"/>
  <c r="AH12" i="5"/>
  <c r="AX12" i="5"/>
  <c r="AQ13" i="5"/>
  <c r="AJ14" i="5"/>
  <c r="AC15" i="5"/>
  <c r="AS15" i="5"/>
  <c r="AL16" i="5"/>
  <c r="AE17" i="5"/>
  <c r="AU17" i="5"/>
  <c r="AN18" i="5"/>
  <c r="AG19" i="5"/>
  <c r="AW19" i="5"/>
  <c r="AR10" i="4"/>
  <c r="AK11" i="4"/>
  <c r="AD12" i="4"/>
  <c r="AT12" i="4"/>
  <c r="AM13" i="4"/>
  <c r="AF14" i="4"/>
  <c r="AV14" i="4"/>
  <c r="AO15" i="4"/>
  <c r="AH16" i="4"/>
  <c r="AX16" i="4"/>
  <c r="AQ17" i="4"/>
  <c r="AJ18" i="4"/>
  <c r="AC19" i="4"/>
  <c r="AS19" i="4"/>
  <c r="AG10" i="5"/>
  <c r="AW10" i="5"/>
  <c r="AP11" i="5"/>
  <c r="AI12" i="5"/>
  <c r="AB13" i="5"/>
  <c r="AR13" i="5"/>
  <c r="AK14" i="5"/>
  <c r="AD15" i="5"/>
  <c r="AT15" i="5"/>
  <c r="AM16" i="5"/>
  <c r="AF17" i="5"/>
  <c r="AV17" i="5"/>
  <c r="AO18" i="5"/>
  <c r="AH19" i="5"/>
  <c r="AX19" i="5"/>
  <c r="AE10" i="4"/>
  <c r="AU10" i="4"/>
  <c r="AN11" i="4"/>
  <c r="AG12" i="4"/>
  <c r="AW12" i="4"/>
  <c r="AP13" i="4"/>
  <c r="AI14" i="4"/>
  <c r="AB15" i="4"/>
  <c r="AR15" i="4"/>
  <c r="AK16" i="4"/>
  <c r="AD17" i="4"/>
  <c r="AT17" i="4"/>
  <c r="AM18" i="4"/>
  <c r="AF19" i="4"/>
  <c r="AV19" i="4"/>
  <c r="AJ10" i="5"/>
  <c r="AC11" i="5"/>
  <c r="AS11" i="5"/>
  <c r="AL12" i="5"/>
  <c r="AE13" i="5"/>
  <c r="AU13" i="5"/>
  <c r="AN14" i="5"/>
  <c r="AG15" i="5"/>
  <c r="AW15" i="5"/>
  <c r="AP16" i="5"/>
  <c r="AI17" i="5"/>
  <c r="AB18" i="5"/>
  <c r="AR18" i="5"/>
  <c r="AK19" i="5"/>
  <c r="AF10" i="4"/>
  <c r="AV10" i="4"/>
  <c r="AO11" i="4"/>
  <c r="AH12" i="4"/>
  <c r="AX12" i="4"/>
  <c r="AQ13" i="4"/>
  <c r="AJ14" i="4"/>
  <c r="AC15" i="4"/>
  <c r="AS15" i="4"/>
  <c r="AL16" i="4"/>
  <c r="AE17" i="4"/>
  <c r="AU17" i="4"/>
  <c r="AN18" i="4"/>
  <c r="AG19" i="4"/>
  <c r="AW19" i="4"/>
  <c r="AK10" i="5"/>
  <c r="AD11" i="5"/>
  <c r="AT11" i="5"/>
  <c r="AM12" i="5"/>
  <c r="AF13" i="5"/>
  <c r="AV13" i="5"/>
  <c r="AO14" i="5"/>
  <c r="AH15" i="5"/>
  <c r="AX15" i="5"/>
  <c r="AQ16" i="5"/>
  <c r="AJ17" i="5"/>
  <c r="AC18" i="5"/>
  <c r="AS18" i="5"/>
  <c r="AL19" i="5"/>
  <c r="AI10" i="4"/>
  <c r="AB11" i="4"/>
  <c r="AR11" i="4"/>
  <c r="AK12" i="4"/>
  <c r="AD13" i="4"/>
  <c r="AT13" i="4"/>
  <c r="AM14" i="4"/>
  <c r="AF15" i="4"/>
  <c r="AV15" i="4"/>
  <c r="AO16" i="4"/>
  <c r="AH17" i="4"/>
  <c r="AX17" i="4"/>
  <c r="AQ18" i="4"/>
  <c r="AJ19" i="4"/>
  <c r="AN10" i="5"/>
  <c r="AG11" i="5"/>
  <c r="AW11" i="5"/>
  <c r="AP12" i="5"/>
  <c r="AI13" i="5"/>
  <c r="AB14" i="5"/>
  <c r="AR14" i="5"/>
  <c r="AK15" i="5"/>
  <c r="AD16" i="5"/>
  <c r="AT16" i="5"/>
  <c r="AM17" i="5"/>
  <c r="AF18" i="5"/>
  <c r="AV18" i="5"/>
  <c r="AO19" i="5"/>
  <c r="AJ10" i="4"/>
  <c r="AC11" i="4"/>
  <c r="AS11" i="4"/>
  <c r="AL12" i="4"/>
  <c r="AE13" i="4"/>
  <c r="AU13" i="4"/>
  <c r="AN14" i="4"/>
  <c r="AG15" i="4"/>
  <c r="AW15" i="4"/>
  <c r="AP16" i="4"/>
  <c r="AI17" i="4"/>
  <c r="AB18" i="4"/>
  <c r="AR18" i="4"/>
  <c r="AO10" i="5"/>
  <c r="AH11" i="5"/>
  <c r="AX11" i="5"/>
  <c r="AQ12" i="5"/>
  <c r="AJ13" i="5"/>
  <c r="AC14" i="5"/>
  <c r="AS14" i="5"/>
  <c r="AL15" i="5"/>
  <c r="AE16" i="5"/>
  <c r="AU16" i="5"/>
  <c r="AN17" i="5"/>
  <c r="AG18" i="5"/>
  <c r="AW1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<sst xmlns="http://schemas.openxmlformats.org/spreadsheetml/2006/main" count="3014" uniqueCount="475">
  <si>
    <t>قياس الأداء الإستراتيجي و التشغيلي للربع الأول لعام 2026م</t>
  </si>
  <si>
    <t>رمزالهدف</t>
  </si>
  <si>
    <t>رمزالمؤشر</t>
  </si>
  <si>
    <t>المؤشر</t>
  </si>
  <si>
    <t>نوع المؤشر</t>
  </si>
  <si>
    <t>وحدة القياس</t>
  </si>
  <si>
    <t>الإتجاه</t>
  </si>
  <si>
    <t>دورية القياس</t>
  </si>
  <si>
    <t>البيانات المطلوبة للقياس</t>
  </si>
  <si>
    <t>الإدارة المالكة</t>
  </si>
  <si>
    <t>خط الأساس</t>
  </si>
  <si>
    <t>مستهدف عام 2026</t>
  </si>
  <si>
    <t>المستهدف للربع الأول</t>
  </si>
  <si>
    <t>المتحقق الفعلي للربع الأول</t>
  </si>
  <si>
    <t xml:space="preserve">نسبة الإنجاز </t>
  </si>
  <si>
    <t xml:space="preserve">قيمة الانحراف </t>
  </si>
  <si>
    <t xml:space="preserve">نسبة الانحراف </t>
  </si>
  <si>
    <t>ماذا حصل؟</t>
  </si>
  <si>
    <t>كيف حصل؟</t>
  </si>
  <si>
    <t>إرفاق  شواهد  الربع الأول</t>
  </si>
  <si>
    <t>حالة الإعتماد</t>
  </si>
  <si>
    <t>توصيات  قسم الاستراتيجية</t>
  </si>
  <si>
    <t>الأداء السنوي</t>
  </si>
  <si>
    <t>نسبة التقدم نحو المستهدف السنوي</t>
  </si>
  <si>
    <t>شامل</t>
  </si>
  <si>
    <t>ع1</t>
  </si>
  <si>
    <t>ع1-1</t>
  </si>
  <si>
    <t xml:space="preserve">متوسط ما تتحصل عليه الأسرة من الجمعية </t>
  </si>
  <si>
    <t>استراتيجي</t>
  </si>
  <si>
    <t>ريال</t>
  </si>
  <si>
    <t>كلما زاد كان أفضل</t>
  </si>
  <si>
    <t>ربع سنوي</t>
  </si>
  <si>
    <t>تقرير مالي بالمعونات المقدمة للأسر المستفيدة وعدد الأسر المستفيدة</t>
  </si>
  <si>
    <t>إدارة الرعاية و التمكين</t>
  </si>
  <si>
    <t>البحث عن:</t>
  </si>
  <si>
    <t>ع2-1</t>
  </si>
  <si>
    <t xml:space="preserve">نسبة الأسر التي تم توفير الاحتياجات الضرورية لها </t>
  </si>
  <si>
    <t>نسبة</t>
  </si>
  <si>
    <t>تقرير يصف الإحتياجات الضرورية المعرّفة في الجمعية والأسر المستفيدة منها</t>
  </si>
  <si>
    <t xml:space="preserve">أولًا:تم تغذية بطاقات منافذ لجميع الأسر النشطة وذلك في التاريخ المعتمد 15 من كل شهر ميلادي
بمبالغ مخصصة وفق اللوائح المعمول بها  لكل أسرة حسب عدد أفرادها،وبلغ عدد الأسر المكفولة في شهر يناير / 151 أسرة 
واجمالي مبلغ الكفالة لشهر يناير / 66400 ريال
ثانيًا:تم تغذية بطاقات منافذ لجميع الأسر النشطة وذلك في التاريخ المعتمد 15 من كل شهر ميلادي
بمبالغ مخصصة وفق اللوائح المعمول بها  لكل أسرة حسب عدد أفرادها وبلغ عدد الأسر المكفولة في شهر فبراير/ 172 أسرة 
واجمالي مبلغ الكفالة لشهر يناير / 72900 ريال
ثالثًا:تم تغذية بطاقات منافذ لجميع الأسر النشطة وذلك في التاريخ المعتمد 15 من كل شهر ميلادي
بمبالغ مخصصة وفق اللوائح المعمول بها  لكل أسرة حسب عدد أفرادها وبلغ عدد الأسر المكفولة في شهر فبراير/ 171 أسرة 
واجمالي مبلغ الكفالة لشهر يناير / 73450 ريال
رابعًا:تم تغذية بطاقات منافذ للأسر التي لديها طلاب بالمرحلة الابتدائية والمتوسطة والثانوية بمبلع الحقيبة المدرسية المخصص لكل طالب وهو 150ريال وبلغ اجمالي عدد الطلاب: 235  واجمالي تغذية البطاقات: 35250 ريال
خامسًا:تم السداد للحالات الطارئة من مشروع امان وذلك لبعض المديونيات المتعثرة لدى المستفيدين كما بلغ عدد المستفيدين للبرنامج 17 مستفيدعلى ثلاثة مراحل متفاوتة ، باجمالي مبلغ السداد 12446684ريال 
سادسًا: تم اكمال منزل مستفيد وتعتبر الحالة الثالثة والأخيرة الالحاقية لبرنامج اكمال المنازل في 2025 وبلغ تكلفة المشروع لهذه الحالة 168212 ريال ، كما بلغ عدد المستفيدي لكامل المشروع ثلاثة مستفيين باجمالي تكلفة المشروع 240000 ريال
سابعًا: المطابخ : تم تركيب 5 مطابخ لخمسة مستفيدين 
الأجهزة الكهربائية:تم صرف وتوصيل 7 أجهزة كهربائية للمستفيدين بعدد: 
4 أفران+ 1 غسالة + 2 ثلاجة .
الأثاث: تم صرف كنب لثلاثة أسر مستفيدة مستحقة وايصاله لمنازلهم.
ثامنًا: صرف سلال غذائية على جميع الأسر المستفيدة لجميع فئات الجمعية وتسليمها لهم من خلال مستودع الجمعية
تاسعًا: تم تنظيم رحلة لآداء مناسك العمرة وانضمام 33 مستفيد في يوم الاثنين الموافق 15 رمضان لمدة ثلاثة أيام 
كما شملت رحلة العمرة أهم الخدمات (النقل والسكن والوجبات الرئيسية)
عاشرًا: تم تغذية بطاقات منافذ لجميع الأسر النشطة وذلك في التاريخ المعتمد 9 مارس يوم الاثنين بمبالغ مخصصة وفق اللوائح المعمول بها  لكل أسرة حسب عدد أفرادها وذلك ملاءمة لتغذية الكفالة الشهرية والمبالغ المقدرة للأسر وبلغ عدد الأسر التي تم دعمهم بكسوة العيد / 173 أسرة واجمالي مبلغ كسوة عيد الفطر / 73750 ريال، تم توزيع هدايا العيد على جميع الأسر المستفيدة وتم تحديد الهدية وهي من محل قوتي للحلويات بلغ عدد المستفيدين من هدية العيد 450 أسرة ، وذلك بكبلغ وقدره 10440 ريال+ هدايا ابناء الاسر 300 هدية، تم تصنيف المستفيدين المستحقين لزكاة الفطر ، وتوزيع وتوزيع الفطرة عليهم ، وذلك وفق سياسة تنظيم للزمان والمكان باشعار المستفيدين ومتابعتهم </t>
  </si>
  <si>
    <t>أولاً:اثر التحديث السنوي للأسر المستفيدة وفرز النشطين والمستحقين ومن تم تسجيله وقبوله خلال هذه الفترة ، وخلال تنشيط ملفاتهم يتم تحديد العدد والعمر مقابل المبلغ المحدد لكل فرد وفق اللوائح المعمول بها، ثم تصنيف القائمة ورفع طلب التغذية في نظام منافذ واشعار المستفيدين بذلك.
ثانياً:التحقق من استمرارية استحقاق النشطين وقبول المتقدمين الجدد ، يتم تحديد العدد والعمر مقابل المبلغ المحدد لكل فرد وفق اللوائح المعمول بها، ثم تصنيف القائمة ورفع طلب التغذية في نظام منافذ واشعار المستفيدين بذلك.
ثالثاً:التحقق من استمرارية استحقاق النشطين وقبول المتقدمين الجدد ، يتم تحديد العدد والعمر مقابل المبلغ المحدد لكل فرد وفق اللوائح المعمول بها، ثم تصنيف القائمة ورفع طلب التغذية في نظام منافذ واشعار المستفيدين بذلك.
رابعاً:فرز وحصر المستفيدين الرعويين ، من خلال النشطين على نظام خير وتم تقدير مبلغ موحد وهو 400 ريال لكل الأسر تحليلاً لمشتريات سابقة، ومن ثم رفع طلب تغذية على نظام منافذ ، وتحديد منافذ العنايى واشعار المستفيدين بذلك .
خامساً:من خلال فرز التابعين حسب العمر والمرحلة الدراسية في نظام خير والتواصل مع الأسر والتحقق منها ، وتم تحديد مبلغ لكل الطلاب واعتماده وايداعه في حسابهم في منافذ واشعارهم بذلك.
سادساً:تم حصر المستفيدين المديونين وذلك من خلال التواصل والاستبيانات وفرز المستحقين للسداد حسب سياسة المشروع ، ومن ثم رفع القوائم للمالية واعتماد السداد واشعار المستفيدين.
سابعاً:من خلال الزيارات الميدانية للباحثين للأسر المستفيدة تم حصر وفرز من كان وضع منزل غير صالح ويحتاج لتدخل واكمال بناء وترميم ، ورفع تقارير بالصور والمرئيات للإدارة واعتماد الحالات المرشحة ، ومن ثم تم التعاقد مع الشركات المقاولة واعتمادة وبدء التنفيذ والانتهاء منه.
ثامنا:"تم فرز وحصر طلبات المستفيدين المرفوعة في نظام خير
حسب كل برنامج وتوفر الطلبات والتأكد من استحقاقيتهم للطلبات المرفوعة من خلال الزيارات الميدانية واعتماد الاستحقاق 
ومن بعد ذلك يتم صرف لكل مستفيد 
* الأجهزة الكهربائية وتوزيعها في زيارة مؤسسة الراجحي الخيرية عبر زيارات ميدانية للأسر المستحقة.
* الأثاث (الكنبات) تم استقبالها من الداعم في مستودع الجمعية وتم تسليمها للمستفيدين المستحقين.
* المطابخ تم الاتفاق مع شركة مطابخ وفق اتفاقية الداعم للبرنامج بزيارة مسبقة لأخذ المقاسات الدقيقة ومن ثم تركيبها بشكل كامل. "
تاسعاً:تم استقبال سلال غذائية من المتبرعين، ثم تم صرف سلال غذائية على جميع الأسر المستفيدة لجميع فئات الجمعية واشعارهم بذلك وتسليمها لهم من خلال مستودع الجمعية.
عاشراً:"تم حصر المستفيدين من خلال ارسال نموذج بالرغبة في الانضمام 
ومتابعة التواصل مع المستفيد بالتحقق والاستحقاق وتسجيل مرافق معه ان وجد
وتنظيم العمرة باتفاق مع شركة (المنفذ المثالث) 
وتم تعيين مشرف للعمرة ومتطوع متعاون لترتيب وتنظيم العمرة بشكل متكامل ومنظم"
الحادي عشر:فرز وحصر المستفيدين الرعويين ، من خلال النشطين على نظام خير وتم تقدير مبلغ كسوة العيد مماثلاُ لمبلغ الكفالة الشهرية، ومن ثم رفع طلب تغذية على نظام منافذ ، وتحديد منافذ الكسوة واشعار المستفيدين بذلك.
الثاني عشر:تم فرز المستفيدين المستحقين لهدية العيد من فئتي الرعوي والتنموي وتحديد اجمالي العدد، ومن ثم البحث عن صنف مناسب لتقديمه هدية عيد للمستفيدين، والعمل على المعاملات والمطالبات المالية، واستلامها وترتيبها وتجهيزها وتقديمها للأسر مع زكاة الفطر.
الثالث عشر:تم فرز المستفيدين المستحقين زكاة الفطر من جميع الفئات الرعوي والتنموي وفئة هـ  وتحديد الكمية المقدرة لكل أسرة حسب عدد أفرادها، ويتم تسليمها للأسر المستفيدة وفق سياسة تنظيم معتمدة وتعمم على الأسر المستفيدة.</t>
  </si>
  <si>
    <t>مؤشر نسبة الأسر التي تم توفير الاحتياجات الضرورية لها</t>
  </si>
  <si>
    <t>ع2</t>
  </si>
  <si>
    <t>ع1-2</t>
  </si>
  <si>
    <t>عدد المستفيدين الذين تم تأهيلهم</t>
  </si>
  <si>
    <t>مستفيد</t>
  </si>
  <si>
    <t>قائمة ببرامج التأهيل وعدد المستفيدين من كل برنامج</t>
  </si>
  <si>
    <t>أولاً:تم ربط عدد (34) مشترك/ة من أبناء وبنات الأسر المستفيدة في برنامج غراس الرمضاني، بالتعاون مع عدد من الأكاديميات الشريكة.
ثانياً:تم تكريم عدد  ( 27) متفوقًا ومتفوقة في جائزة التفوق للفصل الأول، وتوزيع الشهادات والجوائز  في حفل منظم، بالإضافة إلى إطلاق التسجيل في الجائزة  للفصل الدراسي الثاني.
ثالثاً:تم تأهيل عدد (20) من الخريجات في دورة المقابلات الوظيفية "كيف تعرف بذاتك " المقامة بالتعاون مع صندوق تنمية الموارد البشرية – هدف، كما تم تأهيل عدد (2) من الخريجات في دورة المكياج الاحترافي مع المدربة سمية الغفيلي، بالاضافة الى تأهيل عدد ( 7)  من الخريجين من خلال دورة المهارات الناعمة وفن الاتصال المقامة بالتعاون مع مركز التنمية الاجتماعية – جادة 30، وأيضًا تم ربط مستفيد واحد في برنامج "أساسيات ريادة الأعمال في استثمار المواهب والقدرات" المقام في مركز العثيم فاب لاب، كما تم حصول عدد ( 10 ) من الخريجين في دورة السكرتارية و المهارات الادارية و المنفذة من وحدة التمكين لتابعة للضمان الإجتماعي .
رابعاً:تم خلال الربع دراسة حالة تعليمية واحدة لأحد طلاب الأسر المستفيدة المتعثرين في سداد الرسوم.</t>
  </si>
  <si>
    <t>اولاً:تم ذلك من خلال تفعيل الشراكة مع أكاديمية رموز المستقبل ومركز سواعد وأفكار للتدريب، وإعداد خطة تنفيذية متكاملة تضمنت تحديد الأدوار والضوابط المنظمة للعمل مع الشركاء، إضافة إلى تطبيق أدوات قياس أثر قبلية وبعدية لقياس مستوى التحسن لدى المشاركين وضمان جودة المخرجات.
ثانياً:تم ذلك عبر إطلاق التسجيل، ترشيح المستفيدين، ثم فرزهم وفق مسارات الجائزة المعتمدة مسار التميز ومسار التقدم ، مع تنظيم الحفل الرسمي لتكريم الفائزين وتوزيع الشهادات.
ثالثاً:تم ذلك من خلال بناء قاعدة بيانات للخريجين وتحديد احتياجاتهم التدريبية والمهنية، ثم ربطهم بالدورات المناسبة بالتعاون مع الجهات الشريكة. كما نُفذت دورة المقابلات الوظيفية استجابةً لاحتياج الخريجين وتهيئتهم قبل المقابلات الوظيفية مع شركة مخازن العناية.
رابعاً:تم ذلك من خلال التحقق من استحقاق الحالة وفق شروط لائحة التعليم، وطلب المرفقات اللازمة ، ثم رفعها للإدارة لاعتمادها واستكمال إجراءات السداد.</t>
  </si>
  <si>
    <t>مؤشر عدد المستفيدين الذين تم تأهيلهم</t>
  </si>
  <si>
    <t>ع2-2</t>
  </si>
  <si>
    <t>عدد الأفراد الذين استغنوا عن خدمات الجمعية</t>
  </si>
  <si>
    <t>أسرة</t>
  </si>
  <si>
    <t>قائمة بمستفيدي الجمعية  و الأفراد الذين استغنوا عن خدمات الجمعية</t>
  </si>
  <si>
    <t>تم توظيف خمسة من الخريجين في عدد من الجهات في القطاع الخاص، حيث  التحقت خريجتان بالعمل في شركة حلول أتمال ، وخريجة واحدة في مجمع الفيحاء الطبي، خريج واحد في مدارس الخير الأهلية، وخريج في شركة أمني المتحدة للحراسات الأمنية .</t>
  </si>
  <si>
    <t>تم العمل مع الخريجين على تحسين جاهزيتهم لسوق العمل من خلال إعداد السير الذاتية وإلحاقهم بعدد من الدورات التطويرية، إضافة إلى متابعتهم في البحث عن فرص العمل وترشيح المناسب منها، حتى تم قبولهم والتحاقهم بالعمل.</t>
  </si>
  <si>
    <t>مؤشر عدد الأفراد الذين استغنوا عن خدمات الجمعية</t>
  </si>
  <si>
    <t>ع3</t>
  </si>
  <si>
    <t>ع1-3</t>
  </si>
  <si>
    <t>عدد المبادرات المنفذة لحماية الأسر من مسببات الفقر</t>
  </si>
  <si>
    <t>مبادرة</t>
  </si>
  <si>
    <t>تقرير بالمبادرات المنفذة لحماية الأسر من مسببات الفقر</t>
  </si>
  <si>
    <t>إدارة التكافل المجتمعي</t>
  </si>
  <si>
    <t>ع2-3</t>
  </si>
  <si>
    <t xml:space="preserve">عدد المستفيدين من المبادرات </t>
  </si>
  <si>
    <t>تقرير بالمبادرات المنفذة لحماية الأسر من مسببات الفقر، ونوعها وعدد المستفيدين في كل مبادرة</t>
  </si>
  <si>
    <t>اسم المؤشر</t>
  </si>
  <si>
    <t>نسبة الإنجاز Q1</t>
  </si>
  <si>
    <t>قيمة الانحراف Q1</t>
  </si>
  <si>
    <t>نسبة الانحراف Q1</t>
  </si>
  <si>
    <t>ماذا حصل Q1؟</t>
  </si>
  <si>
    <t>كيف حصل Q1؟</t>
  </si>
  <si>
    <t>إرفاق  شواهد  Q1</t>
  </si>
  <si>
    <t>ع4</t>
  </si>
  <si>
    <t>ع1-4</t>
  </si>
  <si>
    <t>عدد مشاريع المشاركة المجتمعية التي نفذتها الجمعية</t>
  </si>
  <si>
    <t>مشروع</t>
  </si>
  <si>
    <t>قائمة ببرامج المشاركة المجتمعية المنفذة</t>
  </si>
  <si>
    <t>تم خلال الربع الأول تنفيذ خمسة مشاريع نوعية (الإفطار السيار، زكاة الفطر، ابتلت العروق، إفطار أهالي القصيم، مبادرة الحي المتكافل)، حيث تم توزيع وجبات إفطار صائم عبر منافذ متعددة في الطرق والإشارات والمواقع الحيوية، إضافة إلى تقديم الإفطار في مخيم أهالي القصيم كجزء من نطاق المشروع، مما ساهم في خدمة شريحة واسعة من المستفيدين.
كما تم جمع وتوزيع زكاة الفطر على المستحقين في الوقت الشرعي، مع تحقيق وصولها للفئات المستحقة بكفاءة. وفي جانب التكافل المجتمعي، تم ربط الأسر المتكافلة بالأسر المستفيدة لتوفير وجبات الإفطار، إضافة إلى إشراك المطاعم في دعم الأسر المحتاجة، مما عزز الأثر الاجتماعي ووسّع دائرة المستفيدين.</t>
  </si>
  <si>
    <t>تم تحقيق ذلك من خلال التخطيط المسبق وإعداد خطط تشغيلية واضحة لكل مشروع، مع تنظيم فرق العمل وتوزيع الأدوار بشكل دقيق، وتشغيل منافذ ونقاط توزيع ميدانية متعددة وفق آلية منظمة.
كما تم تنفيذ العمل عبر عدة مسارات تكاملية، شملت: إدارة مواقع التوزيع، تجهيز مخيمات الإفطار، تنظيم عمليات استلام وتخزين وتوزيع زكاة الفطر، والتنسيق بين الأسر المتبرعة والأسر المستفيدة مع نقل الوجبات عبر المتطوعين، إضافة إلى بناء شراكات مع المطاعم لدعم الأسر المحتاجة.
وقد دعمت هذه الجهود بمتابعة ميدانية مستمرة، وتنسيق فعّال مع الجهات المشاركة، مما أسهم في رفع جودة التنفيذ وتحقيق المستهدفات بكفاءة عالية</t>
  </si>
  <si>
    <t>https://alzaadsa-my.sharepoint.com/:f:/g/personal/pmo_alzaad_org_sa/IgDvFW9U-8gJTKea7hCXZCtxASzaXIeOtAqarTli4uSIAjc?e=kL9T17</t>
  </si>
  <si>
    <t>د4د1-4عدد الشراكات الفاعلةشراكةكلما زاد كان أفضلربع سنويقائمة ببيانات الشراكات الفاعلة التي أقامتها الجمعيةإدارة الإتصال المؤسسي080250.125</t>
  </si>
  <si>
    <t xml:space="preserve"> </t>
  </si>
  <si>
    <t>ع2-4</t>
  </si>
  <si>
    <t>عدد المشاركين من المجتمع في برامج المشاركة المجتمعية</t>
  </si>
  <si>
    <t>مشارك</t>
  </si>
  <si>
    <t>قائمة ببرامج المشاركة المجتمعية المنفذة وعدد المشاركين</t>
  </si>
  <si>
    <t>شهدت مشاريع الربع الأول (زكاة الفطر، الإفطار السيار، ابتلت العروق، إفطار أهالي القصيم، مبادرة الحي المتكافل) مشاركة مجتمعية واسعة ومتنوعة، حيث أسهم في تنفيذها عدد كبير من المشاركين من فئات مختلفة.
شملت هذه المشاركة:
	•	المتطوعين: الذين شاركوا في جميع المشاريع، خصوصًا في التشغيل الميداني والتنظيم والتوزيع.
	•	المزكّين: الذين أسهموا في مشروع زكاة الفطر من خلال إخراج زكواتهم عبر المنظومة.
	•	الأسر المتكافلة: التي شاركت في مشروع ابتلت العروق عبر تقديم وجبات الإفطار للأسر المستفيدة.
	•	أفراد المجتمع: الذين أسهموا بجهود مباشرة أو غير مباشرة في دعم وتنفيذ المبادرات.
وقد انعكس هذا التنوع في المشاركين على تعزيز روح التكافل المجتمعي، ورفع مستوى التفاعل مع المشاريع، وزيادة أثرها وانتشارها</t>
  </si>
  <si>
    <t>تحقق هذا المستوى من المشاركة من خلال:
	•	نشر الفرص وإتاحتها بوضوح: الإعلان عن المشاريع والفرص عبر القنوات الإعلامية، من خلال نشر المنشورات التعريفية والتوعوية التي عرّفت بالمبادرات وآليات المشاركة فيها.
	•	تفعيل الحملات الإعلامية: الاستمرار في نشر المحتوى المرتبط بالمشاريع، مما ساهم في رفع الوعي وتحفيز المجتمع على الانخراط.
	•	تيسير الوصول للفرص: إتاحة فرص التطوع والعمل المجتمعي والتكافل بشكل واضح ومنظم، بحيث يستطيع الفرد اختيار المسار المناسب له (متطوع، مزكّي، أسرة متكافلة).
	•	تنوع مجالات المشاركة: تصميم المشاريع بحيث تشمل مجالات متعددة (ميدانية، مالية، تكافلية)، مما جذب شرائح مختلفة من المجتمع.
	•	تعزيز مفهوم التكافل: إبراز نماذج المشاركة المجتمعية (مثل الأسر المتكافلة)، مما شجّع الآخرين على التفاعل والمساهمة.
	•	التنظيم والمتابعة: إدارة المشاركين بآلية واضحة، مع متابعة مستمرة لضمان استمرارية المشاركة وجودتها</t>
  </si>
  <si>
    <t>https://alzaadsa-my.sharepoint.com/:f:/g/personal/pmo_alzaad_org_sa/IgCDUBH8AxwnR5n1t-a_pKQnAaAUFpeqYxzm1efcwfylJlc?e=zq4J83</t>
  </si>
  <si>
    <t>م1</t>
  </si>
  <si>
    <t>م1-1</t>
  </si>
  <si>
    <t>صافي أرباح المصادر الثابتة</t>
  </si>
  <si>
    <t>تقرير مالي بالإيرادات والمصروفات المالية للجمعية</t>
  </si>
  <si>
    <t>إدارة الشؤون المالية و الإدارية</t>
  </si>
  <si>
    <t xml:space="preserve">تحصيل إدارة االأملاك  من قبل المستأجرين مقابل استئجارهم </t>
  </si>
  <si>
    <t xml:space="preserve">أعمال ترميم طارئة لعقار وقف المنتزه بقيمة (86,250 ريال)
متأخرات (68,500) 
</t>
  </si>
  <si>
    <t>https://alzaadsa-my.sharepoint.com/:f:/g/personal/pmo_alzaad_org_sa/IgB58WHETVQ_Q4DgceOIZzkCAQUMWuQqZPxBrs7NtLkrCWk?e=dMWBUU</t>
  </si>
  <si>
    <t>م2-1</t>
  </si>
  <si>
    <t>صافي أرباح الاستثمارات</t>
  </si>
  <si>
    <t>تقرير بإيرادات ومصروفات الإستثمارات المالية</t>
  </si>
  <si>
    <t>إدارة الإستدامة</t>
  </si>
  <si>
    <t>م2</t>
  </si>
  <si>
    <t>م1-2</t>
  </si>
  <si>
    <t>عدد مصادر الدخل (الجديدة)</t>
  </si>
  <si>
    <t>مصدر دخل</t>
  </si>
  <si>
    <t>تقرير بمصادر الدخل الجديدة وإيراداتها</t>
  </si>
  <si>
    <t>إدارة الإتصال المؤسسي</t>
  </si>
  <si>
    <t>لا يوجد لهذا الربع</t>
  </si>
  <si>
    <t>م2-2</t>
  </si>
  <si>
    <t>إجمالي الإيرادات من مصادر الدخل الجديدة</t>
  </si>
  <si>
    <t>تقرير مالي بالإيرادات المالية للجمعية</t>
  </si>
  <si>
    <t>م3-2</t>
  </si>
  <si>
    <t>إجمالي التبرعات</t>
  </si>
  <si>
    <t>تقرير مالي بالتبرعات في الفترة الحالية والفترة السابقة</t>
  </si>
  <si>
    <t>المالية</t>
  </si>
  <si>
    <t>د1</t>
  </si>
  <si>
    <t>د1-1</t>
  </si>
  <si>
    <t>عدد البرامج المبتكرة التي تم  تصميمها</t>
  </si>
  <si>
    <t>برامج</t>
  </si>
  <si>
    <t>قائمة بالبرامج التي صممتها الجمعية</t>
  </si>
  <si>
    <t>إدارة الرعاية و التمكين،إدارة التكافل المجتمعي</t>
  </si>
  <si>
    <t>أولاً:تم العمل على برنامج مسيرة التعليم كبرنامج مبتكر يهدف إلى اكتشاف مهارات ومواهب الأبناء من الأسر المستفيدة، حيث تم بناء وثيقة المشروع و اختيار مرشد مهني مناسب ، كما تم حصر الطلاب الموهوبين وإعداد ملفات إنجاز خاصة بهم تمهيدًا لتنمية مهاراتهم واستثمارها.
ثانياً:تم العمل على إعداد وثيقة المشروع وخطة تنفيذية متكاملة لإقامة عيد الزاد بطريقة مبتكرة خلال هذا العام ، كما تم ربط عدد ( 30 ) اسرة من الاسر المستفيدة في الافطار الرمضاني لـــ مركز سواعد و أفكار للتدريب .</t>
  </si>
  <si>
    <t>اولاً:تم ذلك بدءًا من دراسة الاحتياج السنوي، ثم حصر الأبناء الذين لديهم مؤشرات للموهبة من خلال استبيانات مخصصة، تلاها التواصل مع كل موهوب وبناء ملف إنجاز خاص به يتضمن معلوماته ومجالات موهبته. كما عُقدت عدة اجتماعات مع عدد من المرشدين المهنيين لاختيار المرشد المناسب لتنفيذ البرنامج ودعم الأبناء في اكتشاف مهاراتهم وتنميتها.
ثانياً:تم بناء وثيقة المشروع من خلال تحديد الأهداف والمخرجات والأنشطة، وجمع البيانات اللازمة، كما تم إعداد خطة تنفيذية متكاملة للقاء عيد الزاد تضمنت تحديد الفئة المستهدفة، والبرامج المصاحبة، والاحتياجات اللوجستية، واختيار القاعات المناسبة، بما يضمن تنفيذ اللقاء بطريقة مبتكرة.</t>
  </si>
  <si>
    <t>مؤشر عدد البرامج المبتكرة التي تم تصميمها</t>
  </si>
  <si>
    <t>د2-1</t>
  </si>
  <si>
    <t>عدد الخدمات المبتكرة التي تم تصميمها</t>
  </si>
  <si>
    <t>خدمة</t>
  </si>
  <si>
    <t>قائمة بالخدمات التي صممتها الجمعية</t>
  </si>
  <si>
    <t>أولاً:تم إطلاق خدمة مبتكرة لربط الخريجين بالمرشد المهني، بهدف متابعة مسارهم التدريبي والمهني بشكل فردي وضمان توافق مهاراتهم مع الفرص المتاحة.
ثانياً:تم اعداد خدمة التقارير الفردية لكل مشترك/ة في برنامج غِراس، والذي تضمن تقييم الحالة قبل و بعد المشاركة و مستوى التحسن و الأثر المتحقق على المشترك/ة.</t>
  </si>
  <si>
    <t>اولاً:تم ذلك من خلال التعاقد مع مرشد مهني متخصص، وحصر الدفعة الأولى من الخريجين بعدد ( 10 )  للربط المباشر بالمرشد، لضمان متابعة مسارهم التدريبي والمهني بشكل فردي وفعّال.
ثانياً:تم ذلك عبر نماذج متابعة تزود للأكاديمات الشريكة و يتم متابعتها من قِبل فريق التمكين لضمان متابعة دقيقة وموثوقة للأثر .</t>
  </si>
  <si>
    <t>مؤشر عدد الخدمات المبتكرة التي تم تصميمها</t>
  </si>
  <si>
    <t>د2</t>
  </si>
  <si>
    <t>د1-2</t>
  </si>
  <si>
    <t>نسبة مصاريف البرامج والأنشطة إلى إجمالي المصاريف</t>
  </si>
  <si>
    <t>تقرير مالي موضح فيه جميع المصروفات (المصروفات الإدارية والعمومية، مصروفات النشاط)</t>
  </si>
  <si>
    <t>د2-2</t>
  </si>
  <si>
    <t>عدد العمليات التي تم تجويدها (تطويرها)</t>
  </si>
  <si>
    <t>عملية</t>
  </si>
  <si>
    <t>قائمة بالعمليات المطورة وبيان التطوير الذي تم عليها وتاريخ التطوير والإعتماد</t>
  </si>
  <si>
    <t>إدارة الشؤون المالية و الإدارية،إدارة الأداء و النمو</t>
  </si>
  <si>
    <t>د3</t>
  </si>
  <si>
    <t>د1-3</t>
  </si>
  <si>
    <t>نسبة نضج واستدامة البيئة التقنية</t>
  </si>
  <si>
    <t>تقرير بالعمليات</t>
  </si>
  <si>
    <t>د2-3</t>
  </si>
  <si>
    <t>نسبة العمليات التي تم تطويرها وفق معايير الجودة المعتمدة</t>
  </si>
  <si>
    <t>د4</t>
  </si>
  <si>
    <t>د1-4</t>
  </si>
  <si>
    <t>عدد الشراكات الفاعلة</t>
  </si>
  <si>
    <t>شراكة</t>
  </si>
  <si>
    <t>قائمة ببيانات الشراكات الفاعلة التي أقامتها الجمعية</t>
  </si>
  <si>
    <t>تجاوز المستهدف، حيث تم تحقيق 27 شراكة فاعلة مقابل 25 شراكة مستهدفة</t>
  </si>
  <si>
    <t>بسبب تكثيف جهود تفعيل الشراكات القائمة، وعقد شراكات جديدة خلال الفترة، مما أسهم في تجاوز المستهدف.</t>
  </si>
  <si>
    <t>https://alzaadsa-my.sharepoint.com/:x:/g/personal/pmo_alzaad_org_sa/IQB7vy07ymgcRJU2sFCDjBzTAeGhMft73-1Z23WQxuOkdHA?e=koPBpN</t>
  </si>
  <si>
    <t>د2-4</t>
  </si>
  <si>
    <t xml:space="preserve">عدد الزيارات المنفذة للشركاء وأصحاب المصلحة </t>
  </si>
  <si>
    <t>عدد</t>
  </si>
  <si>
    <t>قائمة بالشركاء وأصحاب المصلحة الذين تم التواصل معهم بأسمائهم أو أوصافهم )مثال: قاعدة
بيانات الواتس – شركاء منافذ( موضح بها العدد ووسيلة التواصل)</t>
  </si>
  <si>
    <t>52 زيارة،4 عمليات تواصل</t>
  </si>
  <si>
    <t>https://alzaadsa-my.sharepoint.com/:x:/g/personal/yousefalmuaiouf_alzaad_org_sa/IQAQ2zUsxLyKRqWVoDs908tUAbjUVPVsKrm86YCwYspPbEk?e=8Nntxp</t>
  </si>
  <si>
    <t>د3-4</t>
  </si>
  <si>
    <t>نسبة رضا أصحاب المصلحة عن الجمعية</t>
  </si>
  <si>
    <t>إستمارات قياس رضا أصحاب المصلحة عن الجمعية</t>
  </si>
  <si>
    <t>قياس نصفي</t>
  </si>
  <si>
    <t>د5</t>
  </si>
  <si>
    <t>د1-5</t>
  </si>
  <si>
    <t>عدد المشاركات الإعلامية التي تخدم أهداف الجمعية</t>
  </si>
  <si>
    <t>مشاركة إعلامية</t>
  </si>
  <si>
    <t>تقرير بالمشاركات الإعلامية التي نشرتها الجمعية</t>
  </si>
  <si>
    <t xml:space="preserve">تجاوز المستهدف </t>
  </si>
  <si>
    <t xml:space="preserve">بسبب كثرة البرامج والتقارير و تعدد منصات النشر </t>
  </si>
  <si>
    <t>https://alzaadsa-my.sharepoint.com/:x:/g/personal/pmo_alzaad_org_sa/IQDo-smBxou5RJXMyGYglAzCAaF2cTSRecZdS3gFJmFPBUk?e=BB1ZKd</t>
  </si>
  <si>
    <t>د2-5</t>
  </si>
  <si>
    <t xml:space="preserve">عدد مرات الظهور الإعلامي (المشاهدات) </t>
  </si>
  <si>
    <t>مشاهدة</t>
  </si>
  <si>
    <t>تقرير بالمشاهدات للمشاركات الإعلامية، بتوضيح كل قناة وعدد المشاهدات / الظهور فيها</t>
  </si>
  <si>
    <t xml:space="preserve">891,001	</t>
  </si>
  <si>
    <t xml:space="preserve">أقل من المستهدف </t>
  </si>
  <si>
    <t>الرقم جيد ولكن المستهدف كبير</t>
  </si>
  <si>
    <t>https://alzaadsa-my.sharepoint.com/:x:/g/personal/pmo_alzaad_org_sa/IQBUK_2ZwxVnSJVTBIzV_hsZAXgJc30bu00sFkZ6RSRG_-M?e=rvEBgA</t>
  </si>
  <si>
    <t>د3-5</t>
  </si>
  <si>
    <t>عدد قنوات الظهور الإعلامي</t>
  </si>
  <si>
    <t>قناة</t>
  </si>
  <si>
    <t>قائمة بالقنوات الإعلامية</t>
  </si>
  <si>
    <t>أكثر من المستهدف</t>
  </si>
  <si>
    <t xml:space="preserve">وجود برامج ومبادرت جلبت قنوات ظهور جديدة </t>
  </si>
  <si>
    <t>https://alzaadsa-my.sharepoint.com/:x:/g/personal/pmo_alzaad_org_sa/IQCu-MV0BSBXQaE85-rKFY1DARFC1aDayyX5MG4joqFuHJA?e=N3ZOlw</t>
  </si>
  <si>
    <t>ن1</t>
  </si>
  <si>
    <t>ن1-1</t>
  </si>
  <si>
    <t>متوسط عدد الساعات التطويرية المقدمة للفرد</t>
  </si>
  <si>
    <t>ساعة</t>
  </si>
  <si>
    <t>تقرير بالساعات التطويرية المقدمة لموظفي الجمعية ونوع التطوير المقدم</t>
  </si>
  <si>
    <t>إدارة الأداء و النمو</t>
  </si>
  <si>
    <t>ن2-1</t>
  </si>
  <si>
    <t>نسبة الموظفين المؤهلين مهنيًا في وظائفهم</t>
  </si>
  <si>
    <t>تقرير بالموظفين الحاصلين على التأهيل وخطط الإحتياج المهني لهم</t>
  </si>
  <si>
    <t>ن2</t>
  </si>
  <si>
    <t>ن1-2</t>
  </si>
  <si>
    <t>عدد المتطوعين في أعمال وبرامج الجمعية (بدون تكرار)</t>
  </si>
  <si>
    <t>متطوع</t>
  </si>
  <si>
    <t>تقرير بأسماء المشاريع أو البرامج التي شارك فيها متطوعون وعددهم + تقرير بالمتطوعين المشاركين
في إدارات الجمعية</t>
  </si>
  <si>
    <t>تم تسجيل (968) متطوعًا في أعمال وبرامج الجمعية خلال الربع الأول من عام 2026، بدون تكرار، وهو ما يمثل نسبة تحقق بلغت (38.7%) من المستهدف السنوي البالغ (2500) متطوع.</t>
  </si>
  <si>
    <t>من خلال تفعيل منصة التطوع وتسجيل المتطوعين في برامج الجمعية المختلفة، وحصر أسماء المتطوعين المشاركين في إدارات الجمعية وبرامجها، وإعداد تقرير موحد بأسماء المشاريع والبرامج التي شارك فيها متطوعون وعددهم بدون تكرار.</t>
  </si>
  <si>
    <t>https://alzaadsa-my.sharepoint.com/:x:/g/personal/fatimahalfahhad_alzaad_org_sa/IQAn5SLQ8esGR4bRNysz8R17AZJZE6_VY_rFI-8WfuEWaSw?e=WbIIKZ</t>
  </si>
  <si>
    <t>ن2-2</t>
  </si>
  <si>
    <t>عدد الساعات التطوعية</t>
  </si>
  <si>
    <t>تقرير بالساعات التطوعية التي تم تسجيلها منصة التطوع + (من لم تنطبق عليه الشروط)</t>
  </si>
  <si>
    <t>تم تسجيل (47274) ساعة تطوعية خلال الربع الأول من عام 2026، وهو ما يمثل نسبة تحقق بلغت (62.3%) من المستهدف للربع الأول البالغ (32,000) ساعة، وتجاوز المستهدف الربعي بفارق (15,274) ساعة.</t>
  </si>
  <si>
    <t>من خلال تسجيل الساعات التطوعية عبر منصة التطوع الرسمية، وإضافة ساعات المتطوعين الذين لم تنطبق عليهم شروط المنصة يدويًا، وتجميع التقارير الدورية من الإدارات والبرامج المختلفة لاستخراج إجمالي الساعات التطوعية المنجزة خلال الربع الأول.</t>
  </si>
  <si>
    <t>ن3</t>
  </si>
  <si>
    <t>ن1-3</t>
  </si>
  <si>
    <t xml:space="preserve">نسبة رضا العاملين عن بيئة العمل </t>
  </si>
  <si>
    <t>إستمارات قياس رضا العاملين</t>
  </si>
  <si>
    <t>ن2-3</t>
  </si>
  <si>
    <t xml:space="preserve">إجمالي تكلفة المبادرات التحفيزية للعاملين  </t>
  </si>
  <si>
    <t>تقرير بالمبادرات المنفذة لتحفيز العاملين وتكاليفها المالية</t>
  </si>
  <si>
    <t>تم إرفاق مبادرتين لتحفيز الموظفين،</t>
  </si>
  <si>
    <t>من خلال مبادرتين هما:  1- الخروج المبكر خلال يوم الترحيب بعد العودة للعمل: تهدف هذه المبادرة إلى خلق أجواء إيجابية عند استئناف العمل وتعزيز الحماس لدى الموظفين. 2-تقليص ساعات العمل بساعتين خلال شهر رمضان: تأتي هذه المبادرة تقديرًا لخصوصية الشهر الكريم، ولتحفيز الموظفين على زيادة الإنتاجية وتحقيق الإنجاز بكفاءة أعلى.</t>
  </si>
  <si>
    <t>https://alzaadsa-my.sharepoint.com/:b:/g/personal/hr_alzaad_org_sa/IQAlUTY_UAvAQqcveKOafJ-4AV02mymy2VpW1OOvfhUsIyc?e=5pjBts</t>
  </si>
  <si>
    <t>ن4</t>
  </si>
  <si>
    <t>ن1-4</t>
  </si>
  <si>
    <t>نسبة إكتمال اللوائح والسياسات</t>
  </si>
  <si>
    <t>لائحة،سياسة</t>
  </si>
  <si>
    <t>قائمة باللوائح المعتمدة للبناء مع توضيح المنجز منها</t>
  </si>
  <si>
    <t>جميع الإدارات</t>
  </si>
  <si>
    <t>ن2-4</t>
  </si>
  <si>
    <t>الدرجة المتحصلة في معايير الحوكمة</t>
  </si>
  <si>
    <t>درجة</t>
  </si>
  <si>
    <t>سنوي</t>
  </si>
  <si>
    <t>تقرير قياس المعيار</t>
  </si>
  <si>
    <t>ن5</t>
  </si>
  <si>
    <t>ن1-5</t>
  </si>
  <si>
    <t>عدد المبادرات المنفذة في تطوير إدارة المعرفة</t>
  </si>
  <si>
    <t>قائمة بمبادرات إدارة المعرفة المنفذة</t>
  </si>
  <si>
    <t>FIN-01</t>
  </si>
  <si>
    <t>FIN-01-KPI-01</t>
  </si>
  <si>
    <t>نسبة إشغال العقارات الاستثمارية</t>
  </si>
  <si>
    <t>تشغيلي</t>
  </si>
  <si>
    <t>سجل الأوقاف</t>
  </si>
  <si>
    <t>FIN-02</t>
  </si>
  <si>
    <t>FIN-02-KPI-01</t>
  </si>
  <si>
    <t>نسبة تحصيل المستحقات المالية</t>
  </si>
  <si>
    <t xml:space="preserve">سجل الإيرادات </t>
  </si>
  <si>
    <t>GOV-01</t>
  </si>
  <si>
    <t>GOV-01-KPI-01</t>
  </si>
  <si>
    <t>نسبة الالتزام بزمن تقديم الاستشارات القانونية</t>
  </si>
  <si>
    <t>سجل يحتوي على طلبات الإستشارات</t>
  </si>
  <si>
    <t>OPS-01</t>
  </si>
  <si>
    <t>OPS-01-KPI-01</t>
  </si>
  <si>
    <t>نسبة دقة سجلات المخزون</t>
  </si>
  <si>
    <t xml:space="preserve">نموذج الجرد </t>
  </si>
  <si>
    <t>FIN-02-KPI-02</t>
  </si>
  <si>
    <t>متوسط مدة معالجة الطلبات المالية</t>
  </si>
  <si>
    <t xml:space="preserve">طلبات الصرف المالي في نظام خير </t>
  </si>
  <si>
    <t>FIN-03</t>
  </si>
  <si>
    <t>FIN-03-KPI-01</t>
  </si>
  <si>
    <t>نسبة الالتزام بمعيار السلامة المالية</t>
  </si>
  <si>
    <t xml:space="preserve">إعتماد المركز للقوائم  </t>
  </si>
  <si>
    <t>FIN-04</t>
  </si>
  <si>
    <t>FIN-04-KPI-01</t>
  </si>
  <si>
    <t>الالتزام بإعداد وعرض التقرير المالي الربعي</t>
  </si>
  <si>
    <t xml:space="preserve">عرض التقرير في إجتماع الادارات </t>
  </si>
  <si>
    <t>IT-01</t>
  </si>
  <si>
    <t>IT-01-KPI-01</t>
  </si>
  <si>
    <t>متوسط زمن إغلاق الطلبات</t>
  </si>
  <si>
    <t>مسار الطلبات في نظام خير</t>
  </si>
  <si>
    <t>IT-01-KPI-02</t>
  </si>
  <si>
    <t>نسبة الطلبات التقنية المغلقة</t>
  </si>
  <si>
    <t xml:space="preserve">تقرير الطلبات </t>
  </si>
  <si>
    <t>IT-02</t>
  </si>
  <si>
    <t>IT-02-KPI-01</t>
  </si>
  <si>
    <t xml:space="preserve">معدل تكرار الطلبات التقنية لنفس الطلب </t>
  </si>
  <si>
    <t>IT-01-KPI-03</t>
  </si>
  <si>
    <t>مستوى رضا الموظفين عن الخدمات التقنية</t>
  </si>
  <si>
    <t>تقريرجودة الخدمات</t>
  </si>
  <si>
    <t>IT-01-KPI-04</t>
  </si>
  <si>
    <t>نسبة معالجة الطلبات من أول مرة</t>
  </si>
  <si>
    <t>IT-01-KPI-05</t>
  </si>
  <si>
    <t>عدد الشكاوى التقنية المتكررة</t>
  </si>
  <si>
    <t>IT-02-KPI-02</t>
  </si>
  <si>
    <t>نسبة الأقسام الملتزمة باستخدام الأنظمة التقنية</t>
  </si>
  <si>
    <t>تقارير الاستخدام</t>
  </si>
  <si>
    <t>IT-02-KPI-03</t>
  </si>
  <si>
    <t>نسبة العمليات المنفذة عبر الأنظمة التقنية</t>
  </si>
  <si>
    <t>IT-02-KPI-04</t>
  </si>
  <si>
    <t xml:space="preserve"> نسبة المستخدمين النشطين للأنظمة التقنية</t>
  </si>
  <si>
    <t>STR-01</t>
  </si>
  <si>
    <t>STR-01-KPI-01</t>
  </si>
  <si>
    <t>مؤشر الوعي بإدارة المشاريع</t>
  </si>
  <si>
    <t>اكسل متابعة مؤشر الوعي - يحتوي على نتائج الاستبيانات - وتفاصيل المبادرات التوعوية</t>
  </si>
  <si>
    <t>STR-01-KPI-02</t>
  </si>
  <si>
    <t>مؤشر تحقيق جودة مخرجات المشاريع</t>
  </si>
  <si>
    <t>ملف الخطة التشغيلية الرئيسي</t>
  </si>
  <si>
    <t>STR-01-KPI-03</t>
  </si>
  <si>
    <t>مؤشر فعالية تطبيق دليل مكتب إدارة المشاريع</t>
  </si>
  <si>
    <t>STR-01-KPI-04</t>
  </si>
  <si>
    <t>نسبة المشاريع التي تم تنفيذها ضمن المدة المحددة دون تعثر</t>
  </si>
  <si>
    <t>STR-02</t>
  </si>
  <si>
    <t>STR-02-KPI-01</t>
  </si>
  <si>
    <t>نسبة مواءمة الخطط التشغيلية مع الأهداف الاستراتيجية للجمعية</t>
  </si>
  <si>
    <t>نسخة من الخطة التشغيلية لكل إدارة+الخطة الاستراتيجية للجمعية+ملف مواءمة</t>
  </si>
  <si>
    <t>STR-03</t>
  </si>
  <si>
    <t>STR-03-KPI-01</t>
  </si>
  <si>
    <t>نسبة التقدم في تحقيق مؤشرات الأداء المعتمدة و التشغيلية</t>
  </si>
  <si>
    <t>ملف قياس الأداء الاستراتيجي والتشغيلي</t>
  </si>
  <si>
    <t>STR-03-KPI-02</t>
  </si>
  <si>
    <t>دقة التقارير الدورية مقارنة بالبيانات الفعلية</t>
  </si>
  <si>
    <t>التقرير الدوري+ملف المقارنة</t>
  </si>
  <si>
    <t>STR-03-KPI-03</t>
  </si>
  <si>
    <t>نسبة القرارات التنفيذية المبنية على تحليل بيانات الأداء</t>
  </si>
  <si>
    <t>محاضر القرارات التنفيذية+التقارير/التحليلات المرتبطة بكل قرار+جدول حصر وتصنيف القرارات</t>
  </si>
  <si>
    <t>GOV-02</t>
  </si>
  <si>
    <t>GOV-02-KPI-01</t>
  </si>
  <si>
    <t>إلتزام الجمعية بتطبيق معايير الحوكمة</t>
  </si>
  <si>
    <t>تقييم الحوكمة الكامل من المركز الوطني+جدول احتساب الدرجات+ملفات الشواهد لكل معيار+إثبات الاعتماد أو الرفع</t>
  </si>
  <si>
    <t>HR-01</t>
  </si>
  <si>
    <t>HR-01-KPI-01</t>
  </si>
  <si>
    <t>مؤشر عدد المتدربين يكون اكثر ب 30 بالمئة من عدد مشاريع التدريب</t>
  </si>
  <si>
    <t>المشاريع التدريبية+عدد المتدربين+شهادات الاجتياز+إغلاق البرامج رسميًا</t>
  </si>
  <si>
    <t xml:space="preserve">تدريب8 متدربين في مختلف الاقسام في الجمعية </t>
  </si>
  <si>
    <t>تم تدريب8 موظفين من أصل 10 مستهدفين للربع، وذلك نتيجة ترشيحات الإدارات وفق احتياجات العمل، إضافة إلى رغبة المتدربين في التطوير، مع مراعاة تنوع الأقسام لضمان شمولية التمثيل.</t>
  </si>
  <si>
    <t>https://alzaadsa-my.sharepoint.com/:b:/g/personal/hr_alzaad_org_sa/IQB_o2y0rywhQrbqbF8d2su5AcGZUGokjmjSPtG6Lf8E_tE?e=M6llze</t>
  </si>
  <si>
    <t>HR-02</t>
  </si>
  <si>
    <t>HR-02-KPI-01</t>
  </si>
  <si>
    <t xml:space="preserve">نسبة تطبيق خطط التطوير الفردية </t>
  </si>
  <si>
    <t>خطط التطوير الفردية+شهادات حضور دورات+مخرجات تدريب (اختبار / مشروع)+اعتماد الموارد البشرية باكتمال التنفيذ</t>
  </si>
  <si>
    <t>04,00%</t>
  </si>
  <si>
    <t>لم يتم تدشين كتابة الخطة المهنية لدى الموظفين.</t>
  </si>
  <si>
    <t>تم ارسال النماذج لملفات الموظفين جميعا ولم تشرح طريقة التعبئة وكتابة المخطة المهنية، وتم إطلاق جزئي مع بعض الموظفين</t>
  </si>
  <si>
    <t>HR-03</t>
  </si>
  <si>
    <t>HR-03-KPI-01</t>
  </si>
  <si>
    <t>نسبة التزام الموظفين بساعات العمل (الحضور والانصراف)</t>
  </si>
  <si>
    <t>تقرير الحضور والانصراف للفترة (ربع سنوي)</t>
  </si>
  <si>
    <t>HR-03-KPI-02</t>
  </si>
  <si>
    <t>نسبة الموظفين الذين تم تقييمهم وفق نظام الأداء المعتمد</t>
  </si>
  <si>
    <t>سجل تقييم الأداء للموظفين+إقفال دورة التقييم رسميًا</t>
  </si>
  <si>
    <t>OPS-02</t>
  </si>
  <si>
    <t>OPS-02-KPI-01</t>
  </si>
  <si>
    <t>نسبة الالتزام بتنفيذ طلبات الفعاليات الداخلية في الوقت المعتمد</t>
  </si>
  <si>
    <t>رابط تقييم القاعة</t>
  </si>
  <si>
    <t>PRG-01</t>
  </si>
  <si>
    <t>PRG-01-KPI-01</t>
  </si>
  <si>
    <t>مستوى رضا المشاركين عن اللقاءات والفعاليات</t>
  </si>
  <si>
    <t xml:space="preserve">نسبة رضا الحضور </t>
  </si>
  <si>
    <t>https://alzaadsa-my.sharepoint.com/:b:/g/personal/abdullahalqoair_alzaad_org_sa/IQD6ZbePuo8TSo3dcpfDTbUYAe7Nl2CDH6Wn8aTkAVFHENc?e=fITmDn</t>
  </si>
  <si>
    <t>PRG-02</t>
  </si>
  <si>
    <t>PRG-02-KPI-01</t>
  </si>
  <si>
    <t>نسبة مشاركة سفراء الزاد في الأنشطة المعتمدة</t>
  </si>
  <si>
    <t xml:space="preserve">نسبة رضا المستفيدين </t>
  </si>
  <si>
    <t>COM-01</t>
  </si>
  <si>
    <t>COM-01-KPI-01</t>
  </si>
  <si>
    <t>نسبة إنجاز المحتوى وفق خطة النشر</t>
  </si>
  <si>
    <t xml:space="preserve">خطة النشر </t>
  </si>
  <si>
    <t>59,00%</t>
  </si>
  <si>
    <t xml:space="preserve">النسبة أقل من المستهدف </t>
  </si>
  <si>
    <t xml:space="preserve">عدم وجود خطة نشر واضحة وعدم مشاركة الادارات الأخرى في التسجيل في الخطة </t>
  </si>
  <si>
    <t>https://alzaadsa-my.sharepoint.com/:x:/g/personal/sofyanalmansour_alzaad_org_sa/IQDyhinXGmqrQ5Tqza9nt3oCAYMXLLsNJCDRIEIVlfRR9rw?e=uLgEhJ</t>
  </si>
  <si>
    <t>COM-02</t>
  </si>
  <si>
    <t>COM-02-KPI-01</t>
  </si>
  <si>
    <t>نسبة الالتزام بزمن تنفيذ الطلبات الإعلامية</t>
  </si>
  <si>
    <t xml:space="preserve">الطلبات الاعلامية </t>
  </si>
  <si>
    <t>50,00%</t>
  </si>
  <si>
    <t xml:space="preserve">نزول النسبة لأننا  بالبداية لم نضبط طريقة تسجيل الطلبات وبسبب كثرة الطلبات الاعلامية في الفترة السابقة </t>
  </si>
  <si>
    <t>https://alzaadsa-my.sharepoint.com/:x:/g/personal/nmo_esnad_alzaad_org_sa/IQCPXR5Foh2sSKxlcs7zl4GDAeGE0dEGUNH-rJwwV-8YZMk?e=Upt9ol</t>
  </si>
  <si>
    <t>PRT-01</t>
  </si>
  <si>
    <t>PRT-01-KPI-01</t>
  </si>
  <si>
    <t>عدد الشراكات الجديدة الفاعلة</t>
  </si>
  <si>
    <t>عقود الشراكات</t>
  </si>
  <si>
    <t>PRT-01-KPI-02</t>
  </si>
  <si>
    <t>نسبة تفعيل الشراكات السابقة</t>
  </si>
  <si>
    <t>تقارير المتابعة الدورية لتفعيل الشراكات</t>
  </si>
  <si>
    <t>PRT-01-KPI-03</t>
  </si>
  <si>
    <t>عدد فرص التعاون المنفذة بدون شراكة رسمية</t>
  </si>
  <si>
    <t>سجل التعاون المجتمعي</t>
  </si>
  <si>
    <t>EXP-02</t>
  </si>
  <si>
    <t>EXP-02-KPI-01</t>
  </si>
  <si>
    <t>نسبة البرامج أو المبادرات المنفذة بالشراكة بين جمعيتين أو أكثر من إجمالي البرامج المنفذة</t>
  </si>
  <si>
    <t xml:space="preserve">ملف الأدارة -مركز إسناد ونمو </t>
  </si>
  <si>
    <t>أولاً:تم أطلاق برنامج زكاة الفطر لـ جمعيات الخيرية بالمنطقة تسجيل 47 جمعية , ومن ثم تم ترشيح 22 جمعية وفق معايير معينة.
ثانياً:بناء على توجيه صاحب السمو الملكي امير منطقة القصيم لـ دعم بعض من الجمعيات لـ كسوة العيدبمبلغ وقدرة 49959 تم اعتماد 5 جمعيات وتحويل مبالغ مالية لحساباتهم البنكية.</t>
  </si>
  <si>
    <t xml:space="preserve">اولاً:تم عبر نشر فورمز للتسجيل ومن ثم أختيار الجمعيات المرشحة لـ زكاة الفطر ومتابعة قبولهم عن طريق إرسال خطابات رسمية .
ثانيا:تم ترشيح 5 جمعيات والتواصل معهم وطلب خطابات رسمية بعدد أفراد الاسر لديهم والبيانات الأساسية ومن ثم اعتمادها ورفع المطالبات بـ نظام خير </t>
  </si>
  <si>
    <t>مؤشر نسبة البرامج أو المبادرات المنفذة بالشراكة بين جمعيتين أو أكثر من أجمالي البرامج المنفذة</t>
  </si>
  <si>
    <t>PRG-05</t>
  </si>
  <si>
    <t>PRG-05-KPI-01</t>
  </si>
  <si>
    <t>نسبة إكتمال ودقة بيانات وملفات المستفيدين المستخدمة في البحث الإجتماعي</t>
  </si>
  <si>
    <t xml:space="preserve">ملف الأدارة -البحث الأجتماعي </t>
  </si>
  <si>
    <t>PRG-03</t>
  </si>
  <si>
    <t>PRG-03-KPI-01</t>
  </si>
  <si>
    <t>نسبة تحقيق مستهدف الاستعانة بالخبراء والكفاءات المتخصصة</t>
  </si>
  <si>
    <t>سجل حصر الخبراء والكفاءات+عقود/تكليفات+ربط بالمشاريع+مخرجات العمل</t>
  </si>
  <si>
    <t>تم خلال الربع الأول تفعيل دور الخبراء من خلال الاستفادة من خبرات مختصين في مجال العمل التنموي، حيث تمت زيارة ميدانية لمشروع زكاة الفطر والاطلاع على تجربة تطبيقية متقدمة بإشراف خبيرين متخصصين.
أسهمت هذه المشاركة في:
	•	نقل معرفة عملية مباشرة في آليات تنفيذ زكاة الفطر (ميدانيًا وإلكترونيًا).
	•	تطوير فهم الفريق لأساليب التنظيم، الحوكمة، والتوثيق.
	•	تحسين آليات التنسيق مع الجهات الطرفية وإدارة عمليات التوزيع.
	•	الخروج بتوصيات تطويرية نوعية قابلة للتطبيق، تسهم في رفع كفاءة وجودة المشاريع.</t>
  </si>
  <si>
    <t>تم تحقيق ذلك من خلال:
	•	استقطاب خبراء متخصصين: الاستفادة من خبرات (2) من المختصين في المجال عبر التنسيق لزيارة ميدانية.
	•	تنظيم زيارة تطبيقية: تنفيذ زيارة لمشروع زكاة الفطر للاطلاع على التجربة الواقعية في بيئة العمل.
	•	عرض ومناقشة التجربة: استعراض تفصيلي للآليات التشغيلية، مع فتح مجال النقاش والتحليل مع الخبراء.
	•	التركيز على الجوانب الفنية: مناقشة محاور التشغيل، الحوكمة، التوثيق، والتنسيق مع الجهات ذات العلاقة.
	•	توثيق المخرجات: إعداد تقرير يتضمن أبرز الممارسات والتوصيات المقدمة من الخبراء.
	•	تحويل المعرفة إلى تحسينات: الاستفادة من التوصيات وتوجيهها نحو تطوير العمل ورفع كفاءته في المشاريع القادمة</t>
  </si>
  <si>
    <t>https://alzaadsa-my.sharepoint.com/:x:/g/personal/pmo_alzaad_org_sa/IQBwLnP-LDbwSKj_c5vfPyzRAeHe-DbbZ_M8YEtVolSWL3c?e=GGnWa6</t>
  </si>
  <si>
    <t>EXP-01</t>
  </si>
  <si>
    <t>EXP-01-KPI-01</t>
  </si>
  <si>
    <t>نسبة تحقيق مستهدف انتشار خدمات الإدارة</t>
  </si>
  <si>
    <t>سجل الجهات المستفيدة+أدلة تنفيذ الخدمة+ربط الجهات بالمشاريع</t>
  </si>
  <si>
    <t>تم خلال الربع الأول بناء وتفعيل منظومة شراكات متنوعة شملت جهات داعمة، استراتيجية، مجتمعية، ومستفيدة، حيث بلغ عدد الجهات المشاركة أكثر من (20) جهة عبر عدة مشاريع.
أسهمت هذه الشراكات في دعم المشاريع من خلال تقديم الموارد العينية (مثل التمور)، والمشاركة في التوعية ونشر الرسائل الإعلامية، إضافة إلى الإسهام في التنفيذ الميداني وتوسيع نطاق الوصول للمستفيدين. كما لوحظ تكامل بين الجهات، حيث إن بعض الشركاء لديهم معرفة وعلاقات سابقة، مما عزز سرعة التنسيق، في حين تم استقطاب جهات جديدة لم تكن على ارتباط مسبق، مما وسّع شبكة الشراكات</t>
  </si>
  <si>
    <t>تم تحقيق هذه الشراكات عبر عمل منظم ومتكامل شمل:
	•	تحديد وتصنيف الشركاء: تقسيم الجهات إلى (داعمة – استراتيجية – مجتمعية – مستفيدة) وفق طبيعة الدور المتوقع من كل جهة.
	•	بناء العلاقات والتواصل: تفعيل العلاقات السابقة، واستقطاب جهات جديدة عبر التواصل المباشر وعرض فرص المشاركة في المشاريع.
	•	توضيح الفرص والأدوار: تقديم تصور واضح لكل جهة عن دورها وإسهامها في المشروع، مما ساعد على رفع مستوى الالتزام والتفاعل.
	•	التكامل بين الشركاء: ربط بعض الجهات ببعض (مثل الجهات الداعمة مع الجهات المنفذة أو المستفيدة) لتحقيق أعلى كفاءة في الاستفادة من الموارد.
	•	التنسيق المستمر: إدارة التواصل بين الجهات أثناء التنفيذ، ومتابعة سير العمل ميدانيًا لضمان تكامل الأدوار وعدم التعارض.
	•	تعزيز الجانب التوعوي والإعلامي: الاستفادة من الشركاء في نشر الرسائل التوعوية، مما ساهم في رفع الوعي وزيادة أثر المشاريع</t>
  </si>
  <si>
    <t>https://alzaadsa-my.sharepoint.com/:x:/g/personal/pmo_alzaad_org_sa/IQDmkNEYJJcnTIiVH0N9tMJlAaZtUycDhD1pD7UAviVVD7U?e=sJ9PA3</t>
  </si>
  <si>
    <t>PRG-04</t>
  </si>
  <si>
    <t>PRG-04-KPI-01</t>
  </si>
  <si>
    <t>عدد المنتجات والمحتويات المعرفية المنتجة</t>
  </si>
  <si>
    <t>سجل المنتجات+ملفات  كل منتج+اعتماد رسمي+ربط بالمشاريع</t>
  </si>
  <si>
    <t>قياس الأداء لعام 2026 الربع الثالث</t>
  </si>
  <si>
    <t>معتمد</t>
  </si>
  <si>
    <t>تحت المراجعة</t>
  </si>
  <si>
    <t>تح</t>
  </si>
  <si>
    <t>عدد الأسر التي استغنت عن خدمات الجمعيات</t>
  </si>
  <si>
    <t>قائمة بمستفيدي الجمعية  والأسر التي استغنت عن خدمات الجمعية</t>
  </si>
  <si>
    <t xml:space="preserve">ادخال </t>
  </si>
  <si>
    <t>ادخال</t>
  </si>
  <si>
    <t>رابط</t>
  </si>
  <si>
    <t>ع1ع1-1متوسط ما تتحصل عليه الأسرة من الجمعية ريالكلما زاد كان أفضلربع سنويتقرير مالي بالمعونات المقدمة للأسر المستفيدة وعدد الأسر المستفيدةإدارة الرعاية و التمكين02000040000.0005معتمد</t>
  </si>
  <si>
    <t>ع1ع1-1متوسط ما تتحصل عليه الأسرة من الجمعية ريالكلما زاد كان أفضلربع سنويتقرير مالي بالمعونات المقدمة للأسر المستفيدة وعدد الأسر المستفيدةإدارة الرعاية و التمكين02000040000.0005تحت المراجعة</t>
  </si>
  <si>
    <t>ع1ع2-1نسبة الأسر التي تم توفير الاحتياجات الضرورية لها نسبةكلما زاد كان أفضلربع سنويتقرير يصف الإحتياجات الضرورية المعرّفة في الجمعية والأسر المستفيدة منهاإدارة الرعاية و التمكين00.940.9410.63829787234041001تحت المراجعة1</t>
  </si>
  <si>
    <t>ن3ن2-3إجمالي تكلفة المبادرات التحفيزية للعاملين  ريالكلما زاد كان أفضلربع سنويتقرير بالمبادرات المنفذة لتحفيز العاملين وتكاليفها الماليةإدارة الأداء و النمو070000200000.000142857142857143</t>
  </si>
  <si>
    <t>ن4ن2-4الدرجة المتحصلة في معايير الحوكمةدرجةكلما زاد كان أفضلسنويتقرير قياس المعيارإدارة الأداء و النمو01110</t>
  </si>
  <si>
    <t>FIN-02FIN-02-KPI-01نسبة تحصيل المستحقات الماليةنسبةكلما زاد كان أفضلربع سنويتقريرإدارة الأداء و النمو0100000200000.0001</t>
  </si>
  <si>
    <t>STR-03STR-03-KPI-01نسبة التقدم في تحقيق مؤشرات الأداء المعتمدة و التشغيليةنسبةكلما زاد كان أفضلربع سنويتقريرإدارة الأداء و النمو00.70.5514.2857142857143</t>
  </si>
  <si>
    <t>STR-03STR-03-KPI-03نسبة القرارات التنفيذية المبنية على تحليل بيانات الأداءنسبةكلما زاد كان أفضلربع سنويتقريرإدارة الأداء و النمو00.60.316.6666666666667</t>
  </si>
  <si>
    <t>PRG-03PRG-03-KPI-01نسبة تحقيق مستهدف الاستعانة بالخبراء والكفاءات المتخصصةنسبةكلما زاد كان أفضلربع سنويتقريرإدارة الأداء و النمو01011</t>
  </si>
  <si>
    <t>EXP-01EXP-01-KPI-01نسبة تحقيق مستهدف انتشار خدمات الإدارةنسبةكلما زاد كان أفضلربع سنويتقريرإدارة الأداء و النمو060150.166666666666667</t>
  </si>
  <si>
    <t>تقرير</t>
  </si>
  <si>
    <t>STR-02-KPI-02</t>
  </si>
  <si>
    <t>نسبة المبادرات التشغيلية ذات الأثر الإستراتيجي المباشر</t>
  </si>
  <si>
    <t>قياس الأداء لعام 2026 الربع الرابع</t>
  </si>
  <si>
    <t>نسبة المؤشرات المنحرفة عن المسار لكل إدارة</t>
  </si>
  <si>
    <t>اسم الإدارة</t>
  </si>
  <si>
    <t>عدد المؤشرات</t>
  </si>
  <si>
    <t>عدد المؤشرات المنحرفة</t>
  </si>
  <si>
    <t>نسبة المؤشرات المنحرفة</t>
  </si>
  <si>
    <t>تصنيف الأداء الإداري</t>
  </si>
  <si>
    <t>قياس الأداء الاستراتيجي و التشغيلي للربع الثاني لعام 2026م</t>
  </si>
  <si>
    <t>المستهدف للربع الثاني</t>
  </si>
  <si>
    <t>المتحقق الفعلي للربع الثاني</t>
  </si>
  <si>
    <t>ماذا حصل ؟</t>
  </si>
  <si>
    <t>كيف حصل ؟</t>
  </si>
  <si>
    <t>إرفاق  شواهد</t>
  </si>
  <si>
    <t>أولاً : كفالة شهر ابريل: تم تغذية بطاقات منافذ لشهر ابريل لجميع الأسر النشطة وذلك في التاريخ المعتمد 15 من كل شهر ميلادي
بمبالغ مخصصة وفق اللوائح المعمول بها  لكل أسرة حسب عدد أفرادها 
وبلغ عدد الأسر المكفولة في شهر يناير / 189 أسرة 
واجمالي مبلغ الكفالة لشهر يناير / 80550 ريال"
ثانياً: كفالة شهر مايو: تم تغذية بطاقات منافذ لشهر مايو لجميع الأسر النشطة وذلك في التاريخ المعتمد 15 من كل شهر ميلادي
بمبالغ مخصصة وفق اللوائح المعمول بها  لكل أسرة حسب عدد أفرادها 
وبلغ عدد الأسر المكفولة في شهر يناير / 195أسرة 
واجمالي مبلغ الكفالة لشهر يناير / 83300 ريال"
ثالثاً: كفالة شهر يونيو : تم تغذية بطاقات منافذ لشهر مايو لجميع الأسر النشطة وذلك في التاريخ المعتمد 15 من كل شهر ميلادي
بمبالغ مخصصة وفق اللوائح المعمول بها  لكل أسرة حسب عدد أفرادها 
وبلغ عدد الأسر المكفولة في شهر يناير / 200 أسرة 
واجمالي مبلغ الكفالة لشهر يناير / 85150 ريال"
رابعاً: مشروع هدية عيد الأضحى: تم توزيع هدايا العيد على جميع الأسر المستفيدة وتم تحديد الهدية وهي من شركة شجرة اللوز للحلويات بلغ عدد المستفيدين من هدية العيد 450 أسرة ، وذلك بمبلغ وقدره 9227 ريال
خامساً: برنامج أضحيتي : تم توزيع لحوم الأضاحي على الأسر المستفيدة ابتداءً من ثاني أيام عيد الأضحى المبارك حيث وصل عدد المستلمين من فئة الرعوي والتنموي 471 أسرة مقابل 328 أضحية وكل أضحية مقدرة بمبلغ 790 ريال
سادساً: الأجهزة الكهربائية:
تم صرف وتوصيل 17 جهاز كهربائي للمستفيدين بعدد: 
6 أفران+ 7 غسالات + 4 ثلاجات .
باجمالي مبلغ : 22353 ريال"
سابعاً : مأمن لسداد الايجارات: تم سداد الدفعة الأولى من الربع الثاني لمساعدة الايجار للمستفيدين
 بعدد 73 أسرة
باجمالي مبلغ 431300 ريال
وذلك خلال دفعتين 
الاولى وعددهم 65 أسرة بمبلغ/ 371800 ريال
مؤسسة عبدالله العثيم 
والثانية وعددهم 8 أسر بمبلغ / 59500 ريال
والدعم من مؤسسة العويضة "
ثامناً: "تم صرف 583 سلة غذائية 
لـ أكثر من 450 أسرة مستفيدة 
لكل فئات الجمعية (الرعوي والتنموي)"</t>
  </si>
  <si>
    <t>أولاً: التحقق من استمرارية استحقاق النشطين وقبول المتقدمين الجدد ، يتم تحديد العدد والعمر مقابل المبلغ المحدد لكل فرد وفق اللوائح المعمول بها، ثم تصنيف القائمة ورفع طلب التغذية في نظام منافذ واشعار المستفيدين بذلك 
ثانياً: التحقق من استمرارية استحقاق النشطين وقبول المتقدمين الجدد ، يتم تحديد العدد والعمر مقابل المبلغ المحدد لكل فرد وفق اللوائح المعمول بها، ثم تصنيف القائمة ورفع طلب التغذية في نظام منافذ واشعار المستفيدين بذلك 
ثالثاُ: التحقق من استمرارية استحقاق النشطين وقبول المتقدمين الجدد ، يتم تحديد العدد والعمر مقابل المبلغ المحدد لكل فرد وفق اللوائح المعمول بها، ثم تصنيف القائمة ورفع طلب التغذية في نظام منافذ واشعار المستفيدين بذلك 
رابعاً: تم فرز المستفيدين المستحقين لهدية العيد من فئتي الرعوي والتنموي وتحديد اجمالي العدد، ومن ثم البحث عن صنف مناسب لتقديمه هدية عيد للمستفيدين، والعمل على المعاملات والمطالبات المالية، واستلامها وترتيبها وتجهيزها وتقديمها للأسر مع لحوم الأضاحي
خامساً: تم إعداد المشروع وتخطيطه من قبل مدير المشروع وتزويدنا بمراحل التنفيذ الخاصة بادارة الرعاية والتمكين وهي فرز الأسر المستفيدة ومن ثم جدولة استقبالهم في مقر الجمعية وتسليمهم الأضاحي حسب عددهم وفئتهم 
سادساً: "تم فرز وحصر طلبات المستفيدين المرفوعة في نظام خير وعبر الزيارات الميدانية والطلبات المباشرة
ومن خلال التأكد من توفر الأجهزة لدى الجمعية تم رفع قائمة معتمدة من طلبات المستفيدين للأجهزة ومرت هذه القائمة بمراحل (رفع طلب ثم دراسة الحالة ثم الزيارة الميدانية للتحقق من استحقاق الصرف وعدمه ثم الاعتماد ) ومن بعد ذلك صرف أجهزة من نظام خير وتوثيق اجراءات التوصيل واستلام الأجهزة التالفة والتقييد المالي للصرف ."
سابعاً: تم الفرز من الأسر المستفيدة ممن يسكنون في منازل ايجار وجمع البيانات والمرفقات المطلوبة 
ثم تم حصر المستحقين للسداد وفق دراسة و سياسة البرنامج ووضع مبلغ استحقاق لكل أسرة حسب عدد أفرادها 
وبعد استقبال الدعم والتبرعات تم سداد المساعدات المخصصة مباشرة لحسابات المؤجرين واشعار المستفيدين بذلك"
ثامناً : تم استقبال السلال الغذائية من المؤسسة المانحة ، ومن ثم فرز المستفيدين والتواصل معهم للاستلام بتحديد آلية الاستلام وفق سياسة المستودع والصرف</t>
  </si>
  <si>
    <t>https://alzaadsa-my.sharepoint.com/:f:/g/personal/pmo_alzaad_org_sa/IgCm4lDpckJJTJ4sl6PHKGF-AZJ7SF-SgYJUUneY8dTJSAk?e=K9du1Z</t>
  </si>
  <si>
    <t>أولاً: تم تنفيذ برنامج "انطلاقة" على مدى يومين، موجّه للأم المربية، بهدف تأهيلها وتمكينها وتطوير مهاراتها التربوية، وقد بلغ عدد المستفيدات 26 أماً مربية خلال يومين متتاليين.
ثانياً: تم تكريم عدد (20) من الطلاب والطالبات المتفوقين ضمن برنامج جائزة التفوق، تقديرًا لتفوقهم الدراسي وتحفيزًا لهم على مواصلة التميز الأكاديمي.
ثالثاً: تم تأهيل 39 خريج/ة من خلال برامج تدريبية متنوعة شملت السلوك الوظيفي، وبناء فريق العمل، والمقابلات الشخصية، ومعسكر الذكاء الاصطناعي.
رابعاً: تم تنفيذ لقاء (مستقبلك الوظيفي يبدأ بخطوة جادة) والموجّه للخريجين والخريجات، بهدف تأهيلهم لسوق العمل وتنمية مهاراتهم المهنية، بما يسهم في تعزيز جاهزيتهم للفرص الوظيفية المستقبلية.
خامساً: تم تنفيذ استبيان لحصر ودراسة احتياجات المستفيدين التعليمية ومدى انطباق شروط الاستفادة من الدعم التعليمي.
سادساً: تم حصر الأسر المنتجة الراغبة في الاستفادة من مشروع الإقراض الذكي، ودراسة أوضاعها واحتياجاتها تمهيدًا لبدء تنفيذ المشروع.</t>
  </si>
  <si>
    <t>أولاً: تم تقديم ورشة تدريبية تخللتها أنشطة تطبيقية وتفاعلية، ركّزت على تعزيز مهارات الأم في فهم سيكولوجية الطفل وأساليب التربية الحديثة القائمة على التوجيه والتحفيز، مع بيئة تدريبية تفاعلية.
ثانياً: تم حصر الشهادات الدراسية الواردة للبرنامج، ومراجعتها والتحقق من استيفائها للشروط والمعايير المعتمدة، ثم فرزها وفق مساري الجائزة وتحديد المستحقين للتكريم.
ثالثاً: تم التنسيق مع الجهات التدريبية والشركاء لتنفيذ برامج تأهيلية متخصصة، حيث خُصصت دورتا السلوك الوظيفي وبناء فريق العمل للمستفيدات المرشحات لوظائف مخازن العناية، كما أُتيحت فرص تدريبية أخرى للخريجات بالتعاون مع صندوق تنمية الموارد البشرية (هدف) في دورة المقابلات الشخصية والعثيم فاب لاب في معسكر الذكاء الاصطناعي و الذي اقيم على مدى 4 ايام متتالية .
رابعاً: "أُقيم اللقاء من خلال محاور تفاعلية تناولت تطوير السيرة الذاتية، والاستعداد للمقابلات الشخصية، والتعرّف على مهارات البحث عن الوظائف وتحديد الاتجاه المهني المناسب، إضافة إلى إتاحة الفرصة للاستشارات المهنية والإجابة على استفسارات الحضور.
وقد بلغ عدد الحضور 30 مستفيدًا ومستفيدة."
خامساً: تم نشر الاستبيان وجمع بيانات المتقدمين الراغبين في الاستفادة من دعم التعليم، ثم مراجعة وتحليل البيانات ودراسة كل حالة وفق معايير وشروط الاستحقاق المعتمدة، وقد أظهرت النتائج عدم وجود حالات مستوفية للشروط خلال فترة التنفيذ.
سادساً: تم جمع بيانات الأسر المنتجة عبر نموذج إلكتروني، ثم دراسة كل أسرة على حدة بعدد ( 11 ) اسرة ، لتقييم الجدية والاحتياج وجاهزية المشروع للدعم</t>
  </si>
  <si>
    <t>https://alzaadsa-my.sharepoint.com/:f:/g/personal/pmo_alzaad_org_sa/IgDQScURYHGIQ7kaeFyA90dGARzfU2mfqbr2DwVwu67V_0w?e=OqW5VS</t>
  </si>
  <si>
    <t>تم توظيف عدد 10  من الخريجين في جهات عمل مختلفة بالقطاع الخاص، بما يسهم في دعم استقرارهم  .</t>
  </si>
  <si>
    <t>تمت متابعة الخريجين ومشاركة الفرص الوظيفية المناسبة معهم، وترشيح عدد منهم للوظائف المتاحة، حيث تم توظيف عدد (3) في مجال الأمن والحراسات، وعدد (6) في مجالات المبيعات وخدمة العملاء، وعدد (1) في مجال التسويق.</t>
  </si>
  <si>
    <t>https://alzaadsa-my.sharepoint.com/:f:/g/personal/pmo_alzaad_org_sa/IgCbNGBHRNNQTYu3YBPI6lymAVXxz4SpJHHo2UeeV00MUIc?e=f8gMAi</t>
  </si>
  <si>
    <t xml:space="preserve">1. تم تنفيذ برنامج "عيد الزاد" كفعالية تواصلية احتفالية بمناسبة عيد الفطر، بهدف تعزيز التواصل مع المستفيدين وإدخال البهجة والسرور عليهم.
2. تم العمل على مشروع "رِداء" من خلال إعداد الخطة التنفيذية وتوزيع المهام على الإدارات المعنية.
3. تم حصر الأسر المنتجة الراغبة في الاستفادة من مشروع الإقراض الذكي، ودراسة أوضاعها واحتياجاتها، تمهيدًا لبدء تنفيذ المشروع.
4. تم تنفيذ برنامج الإرشاد المهني المتكامل **"وجهة"** من خلال عقد لقاء تعريفي حضره (27) مستفيدًا، كما تم ربط (5) مستفيدين بالمرشد المهني لاستكمال الجلسات الإرشادية والمتابعة المهنية.
</t>
  </si>
  <si>
    <t xml:space="preserve">1. تم تنظيم لقاء احتفالي تخلله فقرات ترحيبية وتفاعلية وأنشطة اجتماعية، مع حضور المستفيدين والمشاركين، وبإشراف فريق العمل لضمان تنفيذ الفعالية بشكل منظم وتحقيق أهدافها المجتمعية. وقد بلغ عدد المستفيدين من أفراد الأسر (نساء وأطفال) (237) مستفيدًا.
2. تم إعداد الخطة التنفيذية الكاملة للمشروع، وعقد ورشة عمل لتوزيع المهام والمسؤوليات بين الإدارات ذات العلاقة، وتوضيح الأدوار وآليات التنفيذ والمتابعة؛ لضمان جاهزية المشروع وتحقيق أهدافه.
3. تم جمع بيانات الأسر المنتجة عبر نموذج إلكتروني، ثم دراسة كل أسرة على حدة بعدد (11) أسرة، لتقييم الجدية والاحتياج وجاهزية المشروع للدعم.
4. تم تنفيذ برنامج الإرشاد المهني المتكامل "وجهة" من خلال لقاء تعريفي حضره (27) مستفيدًا، تلاه تطبيق مقاييس مهنية وجلسات إرشادية هدفت إلى تحليل الميول والقدرات والتوجهات المهنية، كما تم ربط (5) مستفيدين بالمرشد المهني لاستكمال الجلسات والمتابعة المهنية.
</t>
  </si>
  <si>
    <t>https://alzaadsa-my.sharepoint.com/:f:/g/personal/pmo_alzaad_org_sa/IgAogeSYhfSdRrnguEgZG6HWAa5fZqhbRqyLhx_jjuuugyE?e=PNfrkg</t>
  </si>
  <si>
    <t xml:space="preserve">
أولا: خدمة دراسة مواهب وميول الطلاب ووضع خطط تعليمية فردية لتوجيههم وتنمية قدراتهم.
ثانياً: خدمة إرشاد مهني للخريجين عبر دراسة ميولهم وقدراتهم وتوجيههم للمسارات المهنية المناسبة.
ثالثاً: لصرف الأجهزة الكهربائية ، تم عمل استبانة للزيارات الميدانية للبحث الاجتماعي لطلبات احتياج الأجهزة الكهربائية ، بهدف تحليل الاحتياج واعتماد الاستحقاقية والصرف
 رابعاً: استبانة اعضاء المجلس للأضاحي لتسجيل احتياج الأسر للحوم الأضاحي
خامساً: أصبح استقبال جميع طلبات المتقدمين الجدد يتم إلكترونيًا عبر نظام خير، كما أصبحت طلبات الأسر المستفيدة ترفع وتتابع من خلال نظام خير، مما أسهم في توحيد إجراءات العمل، وتحسين جودة وربط البيانات، وسهولة متابعة الطلبات، وتقليل المعاملات الورقية، وتسريع إنجاز الإجراءات، ورفع جودة التحليل الاجتماعي ودقة التقارير، بما يدعم اتخاذ القرار ويعزز كفاءة العمل المؤسسي واستدامته.</t>
  </si>
  <si>
    <t xml:space="preserve">
أولا: تم التعاقد مع المرشد علان الشهري لتنفيذ الجلسات الفردية للطلاب الموهوبين، كما تم حصر المستفيدين المرشحين للبرنامج ودراسة ميولهم ومواهبهم، وعقد جلسات فردية لتحديد نقاط القوة والاهتمامات ووضع توصيات وخطط تعليمية مناسبة لتنمية قدراتهم.
ثانياً: تم التعاون مع المرشد وليد الهويمل لتقديم جلسات إرشاد مهني فردية للخريجين، جرى خلالها دراسة ميولهم وقدراتهم ومناقشة خياراتهم المهنية، وتقديم التوجيه والتوصيات المناسبة لكل مستفيد بما يدعم اتخاذ قراراته المهنية واختيار المسار الملائم له.
ثالثاً تم تعبئة الاستبيان من قِبل الباحث الاجتماعي من خلال الزيارات الميدانية للطلبات المفروزة، وعلى ذلك تم اعتماد الصرف للأسر المستحقة وفق الزيارة والاستحقاق موضحةً بالاستبيان المرفق.
رابعاً : تم انشاء استبيان لأعضاء المجلس ، لتسجيل طلبات الأحتياج والتي تكون من خلالهم لاعتماد صرف لحوم الاضاحي لهم
خامساًُ : تم تنفيذ برنامج المواءمة التقنية من خلال ربط أدوات البحث الاجتماعي وملفات الأسر المستفيدة داخل نظام موحد نظام خير ، وتوحيد إجراءات العمل، وتحسين تكامل البيانات،لتسهيل المتابعة وتحسين دقة البيانات.</t>
  </si>
  <si>
    <t>https://alzaadsa-my.sharepoint.com/:f:/g/personal/pmo_alzaad_org_sa/IgA2ekLJfM77QZ4ox3kIQ682AemvDLKEP6hDN8sxC3Zbxuc?e=ZLQBTq</t>
  </si>
  <si>
    <t>تم خلال الربع الثاني تفعيل ومتابعة (19) شراكة فاعلة من أصل المستهدف البالغ (20) شراكة، من خلال تنفيذ وتحديث عدد من الاتفاقيات والمبادرات المشتركة مع جهات متعددة بما يخدم مشاريع الجمعية، بما في ذلك شراكات مثل أسواق عبدالله العثيم لتوظيف المستفيدين وشركة جزيرة الطفل لدعم الأطفال المستفيدين، وذلك ضمن مبادرات تشغيلية ومجتمعية، مع استكمال إجراءات التفعيل والتنسيق بين الإدارات ذات العلاقة</t>
  </si>
  <si>
    <t>تم تفعيل الشراكات من خلال الإدارات المعنية بحسب نطاق كل شراكة عبر التنسيق مع الجهات الشريكة لتحديد المبادرات والمشاريع الممكن تنفيذها، ثم مباشرة تنفيذ الأنشطة والمخرجات المتفق عليها لكل شراكة على أرض الواقع، مع متابعة سير التنفيذ بين الأطراف المعنية، وتوثيق الشواهد ورفعها وفق النماذج والإجراءات المعتمدة لدى الجمعية</t>
  </si>
  <si>
    <t>https://alzaadsa-my.sharepoint.com/:x:/g/personal/pmo_alzaad_org_sa/IQB-w9ze-yvHSpBwYXXk3IzQAWenWyJDm1V-8dpKmxWbtpQ?e=0nzFJV</t>
  </si>
  <si>
    <t>30٪</t>
  </si>
  <si>
    <t>60٪</t>
  </si>
  <si>
    <t>90٪</t>
  </si>
  <si>
    <t>40٪</t>
  </si>
  <si>
    <t>إدارة الاتصال المؤسسي</t>
  </si>
  <si>
    <t>إدارة الرعاية والتمكين</t>
  </si>
  <si>
    <t>تم فرز استبانة 96 جمعية شاركت منها 46 ، وتم ترشيح 10 جمعيات عبر الخبراء انسحبت منها جمعيتان لتتبقى 8 جمعيات وقعت ميثاق الالتزام وحضرت ورشة عمل لشرح برنامج معين وورشة عمل وثيقة المشروع ، ثم رُبطت الجمعيات مع شركة منافذ لتغذية البطاقات.</t>
  </si>
  <si>
    <t>نشرت استبانة من 46 سؤالاً على أكثر من 96 جمعية شاركت بالرابط 46 منها، ثم عقد اجتماع لخبراء المنطقة رَشّح 10 جمعيات انسحبت منها 2 ، فتمت مراسلة الجمعيات المتبقية وإشعارها وتوقيع ميثاق الالتزام ودعوتها لورشة شرح البرنامج وورشة وثيقة المشروع ثم أُرسلت الوثيقة مفرغة وتمت تعبئتها من كل جمعية، ثم رُبطت الجمعيات بشركة منافذ لتغذية البطاقات.</t>
  </si>
  <si>
    <t>https://alzaadsa-my.sharepoint.com/:f:/g/personal/hadeelalashri_alzaad_org_sa/IgBAwUEA23e-TYFK5J7zplbUAY5z293pmHI0hgshwCZa4s4?e=jrjnwD</t>
  </si>
  <si>
    <t>تم تحديث جميع نماذج وحقول بيانات البحث الاجتماعي في نظام خير، واعتماد التقديم الإلكتروني الكامل لطلبات المستفيدين عبر النظام. كما تم توحيد آلية إدخال البيانات وحفظها إلكترونيا، مما أسهم في رفع دقة واكتمال بيانات المستفيدين، وتسهيل مراجعتها والتحقق منها، وتحسين سرعة معالجة الطلبات ومتابعتها، وإصدار التقارير بكفاءة، مع الاستغناء عن النماذج الورقية والإجراءات اليدوية.</t>
  </si>
  <si>
    <t>تم التواصل مع جميع المستفيدين وإرسال رابط نظام خير لهم لتحديث بياناتهم ورفع المستندات المطلوبة إلكترونيا. وبعد استكمال الطلبات، تمت مراجعة البيانات والمستندات والتحقق من اكتمالها واعتمادها . كما تم اعتماد التقديم الإلكتروني لجميع الطلبات الجديدة عبر نظام خير، بحيث تتم جميع مراحل التقديم واستكمال البيانات ومتابعة الطلبات من خلال النظام.</t>
  </si>
  <si>
    <t>https://alzaadsa-my.sharepoint.com/:f:/g/personal/pmo_alzaad_org_sa/IgA4pnRrRs6mToDDBT3npIJ6AQmvwoOL67JLTL_jJDFA6Vk?e=KbPHsD</t>
  </si>
  <si>
    <t>الادارة</t>
  </si>
  <si>
    <t>المطلوب</t>
  </si>
  <si>
    <t>المنجز</t>
  </si>
  <si>
    <t>المتبقي / فارغ بالكامل</t>
  </si>
  <si>
    <t>غير مكتمل / جزئي</t>
  </si>
  <si>
    <t>نسبة الإنجاز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</si>
</sst>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ر.س.‏&quot;"/>
  </numFmts>
  <fonts count="23">
    <font>
      <sz val="11"/>
      <color theme="1"/>
      <name val="Calibri"/>
      <family val="2"/>
      <scheme val="minor"/>
    </font>
    <font>
      <sz val="8"/>
      <color rgb="FF000000"/>
      <name val="Sakkal Majalla"/>
    </font>
    <font>
      <sz val="11"/>
      <color theme="1"/>
      <name val="Sakkal Majalla"/>
    </font>
    <font>
      <sz val="8"/>
      <color theme="1"/>
      <name val="Calibri"/>
      <family val="2"/>
      <scheme val="minor"/>
    </font>
    <font>
      <sz val="8"/>
      <color theme="1"/>
      <name val="Sakkal Majalla"/>
    </font>
    <font>
      <sz val="11"/>
      <color rgb="FF000000"/>
      <name val="Arial"/>
      <family val="2"/>
      <charset val="178"/>
    </font>
    <font>
      <sz val="10"/>
      <color theme="1"/>
      <name val="Sakkal Majalla"/>
    </font>
    <font>
      <sz val="11"/>
      <color theme="1"/>
      <name val="Calibri"/>
      <family val="2"/>
      <scheme val="minor"/>
    </font>
    <font>
      <sz val="16"/>
      <color theme="1"/>
      <name val="Sakkal Majalla"/>
    </font>
    <font>
      <b/>
      <sz val="10"/>
      <color theme="0"/>
      <name val="Sakkal Majalla"/>
    </font>
    <font>
      <b/>
      <sz val="8"/>
      <color theme="0"/>
      <name val="Sakkal Majalla"/>
    </font>
    <font>
      <sz val="24"/>
      <color theme="1"/>
      <name val="Sakkal Majalla"/>
    </font>
    <font>
      <sz val="24"/>
      <color theme="1"/>
      <name val="Calibri"/>
      <family val="2"/>
      <scheme val="minor"/>
    </font>
    <font>
      <sz val="10"/>
      <color rgb="FF000000"/>
      <name val="Sakkal Majalla"/>
    </font>
    <font>
      <sz val="10"/>
      <color theme="1"/>
      <name val="Calibri"/>
      <family val="2"/>
      <scheme val="minor"/>
    </font>
    <font>
      <sz val="14"/>
      <color rgb="FFFFFFFF"/>
      <name val="Sakkal Majalla"/>
    </font>
    <font>
      <sz val="14"/>
      <color theme="1"/>
      <name val="Sakkal Majalla"/>
    </font>
    <font>
      <u/>
      <sz val="11"/>
      <color theme="10"/>
      <name val="Calibri"/>
      <family val="2"/>
      <scheme val="minor"/>
    </font>
    <font>
      <sz val="20"/>
      <color theme="1"/>
      <name val="Sakkal Majalla"/>
    </font>
    <font>
      <sz val="20"/>
      <color theme="1"/>
      <name val="Calibri"/>
      <family val="2"/>
      <scheme val="minor"/>
    </font>
    <font>
      <sz val="11"/>
      <color theme="0"/>
      <name val="Sakkal Majalla"/>
    </font>
    <font>
      <sz val="11"/>
      <color rgb="FF000000"/>
      <name val="Sakkal Majalla"/>
    </font>
    <font>
      <b/>
      <sz val="11"/>
      <color theme="0"/>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4" tint="0.79998168889431442"/>
        <bgColor indexed="64"/>
      </patternFill>
    </fill>
    <fill>
      <patternFill patternType="solid">
        <fgColor rgb="FF951740"/>
        <bgColor indexed="64"/>
      </patternFill>
    </fill>
    <fill>
      <patternFill patternType="solid">
        <fgColor rgb="FFE9B221"/>
        <bgColor indexed="64"/>
      </patternFill>
    </fill>
    <fill>
      <patternFill patternType="solid">
        <fgColor theme="0" tint="-4.9989318521683403E-2"/>
        <bgColor indexed="64"/>
      </patternFill>
    </fill>
    <fill>
      <patternFill patternType="solid">
        <fgColor theme="0"/>
        <bgColor indexed="64"/>
      </patternFill>
    </fill>
    <fill>
      <patternFill patternType="solid">
        <fgColor theme="5"/>
        <bgColor theme="5"/>
      </patternFill>
    </fill>
    <fill>
      <patternFill patternType="solid">
        <fgColor theme="0" tint="-0.14999847407452621"/>
        <bgColor theme="0" tint="-0.14999847407452621"/>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diagonal/>
    </border>
    <border>
      <left style="thin">
        <color rgb="FF000000"/>
      </left>
      <right/>
      <top/>
      <bottom style="thin">
        <color rgb="FF000000"/>
      </bottom>
      <diagonal/>
    </border>
    <border>
      <left style="thin">
        <color indexed="64"/>
      </left>
      <right/>
      <top style="thin">
        <color theme="4" tint="0.39997558519241921"/>
      </top>
      <bottom style="thin">
        <color indexed="64"/>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theme="4" tint="0.39997558519241921"/>
      </top>
      <bottom style="thin">
        <color theme="4" tint="0.39997558519241921"/>
      </bottom>
      <diagonal/>
    </border>
    <border>
      <left style="thin">
        <color rgb="FF000000"/>
      </left>
      <right/>
      <top style="thin">
        <color theme="4" tint="0.39997558519241921"/>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theme="4" tint="0.39997558519241921"/>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
      <left/>
      <right/>
      <top style="thin">
        <color theme="5" tint="0.39997558519241921"/>
      </top>
      <bottom/>
      <diagonal/>
    </border>
    <border>
      <left style="thin">
        <color rgb="FF000000"/>
      </left>
      <right style="thin">
        <color rgb="FF000000"/>
      </right>
      <top/>
      <bottom style="thin">
        <color rgb="FF000000"/>
      </bottom>
      <diagonal/>
    </border>
    <border>
      <left/>
      <right/>
      <top style="medium">
        <color theme="1"/>
      </top>
      <bottom/>
      <diagonal/>
    </border>
    <border>
      <left/>
      <right/>
      <top/>
      <bottom style="medium">
        <color theme="1"/>
      </bottom>
      <diagonal/>
    </border>
  </borders>
  <cellStyleXfs count="4">
    <xf numFmtId="0" fontId="0" fillId="0" borderId="0"/>
    <xf numFmtId="0" fontId="5" fillId="0" borderId="0"/>
    <xf numFmtId="9" fontId="7" fillId="0" borderId="0"/>
    <xf numFmtId="0" fontId="17" fillId="0" borderId="0" applyNumberFormat="0" applyFill="0" applyBorder="0" applyAlignment="0" applyProtection="0"/>
  </cellStyleXfs>
  <cellXfs count="350">
    <xf numFmtId="0" fontId="0" fillId="0" borderId="0" xfId="0"/>
    <xf numFmtId="0" fontId="6" fillId="2" borderId="13" xfId="0" applyFont="1" applyFill="1" applyBorder="1" applyAlignment="1">
      <alignment horizontal="center" vertical="center"/>
    </xf>
    <xf numFmtId="2" fontId="6" fillId="2" borderId="13" xfId="0" applyNumberFormat="1" applyFont="1" applyFill="1" applyBorder="1" applyAlignment="1">
      <alignment horizontal="center" vertical="center"/>
    </xf>
    <xf numFmtId="0" fontId="4" fillId="2" borderId="13" xfId="0" applyFont="1" applyFill="1" applyBorder="1" applyAlignment="1">
      <alignment horizontal="center" vertical="center"/>
    </xf>
    <xf numFmtId="2" fontId="6" fillId="2" borderId="13" xfId="2" applyNumberFormat="1" applyFont="1" applyFill="1" applyBorder="1" applyAlignment="1">
      <alignment horizontal="center" vertical="center"/>
    </xf>
    <xf numFmtId="9" fontId="6" fillId="2" borderId="13" xfId="2" applyFont="1" applyFill="1" applyBorder="1" applyAlignment="1">
      <alignment horizontal="center" vertical="center"/>
    </xf>
    <xf numFmtId="0" fontId="6" fillId="2" borderId="14" xfId="0" applyFont="1" applyFill="1" applyBorder="1" applyAlignment="1">
      <alignment horizontal="center" vertical="center"/>
    </xf>
    <xf numFmtId="0" fontId="6" fillId="2" borderId="3" xfId="0" applyFont="1" applyFill="1" applyBorder="1" applyAlignment="1">
      <alignment horizontal="center"/>
    </xf>
    <xf numFmtId="0" fontId="6" fillId="0" borderId="0" xfId="0" applyFont="1"/>
    <xf numFmtId="0" fontId="4" fillId="0" borderId="2" xfId="0" applyFont="1" applyBorder="1" applyAlignment="1">
      <alignment horizontal="center" vertical="center"/>
    </xf>
    <xf numFmtId="0" fontId="1" fillId="0" borderId="2" xfId="0" applyFont="1" applyBorder="1" applyAlignment="1">
      <alignment horizontal="center" vertical="center" wrapText="1" readingOrder="2"/>
    </xf>
    <xf numFmtId="2" fontId="1" fillId="0" borderId="2" xfId="0" applyNumberFormat="1" applyFont="1" applyBorder="1" applyAlignment="1">
      <alignment horizontal="center" vertical="center" wrapText="1" readingOrder="2"/>
    </xf>
    <xf numFmtId="0" fontId="2" fillId="0" borderId="0" xfId="0" applyFont="1" applyAlignment="1">
      <alignment horizontal="center" vertical="center"/>
    </xf>
    <xf numFmtId="9" fontId="1" fillId="0" borderId="2" xfId="0" applyNumberFormat="1" applyFont="1" applyBorder="1" applyAlignment="1">
      <alignment horizontal="center" vertical="center" wrapText="1" readingOrder="2"/>
    </xf>
    <xf numFmtId="2" fontId="1" fillId="0" borderId="2" xfId="0" applyNumberFormat="1" applyFont="1" applyBorder="1" applyAlignment="1">
      <alignment horizontal="center" vertical="center" wrapText="1" readingOrder="1"/>
    </xf>
    <xf numFmtId="0" fontId="4" fillId="0" borderId="7" xfId="0" applyFont="1" applyBorder="1" applyAlignment="1">
      <alignment horizontal="center" vertical="center"/>
    </xf>
    <xf numFmtId="0" fontId="1" fillId="0" borderId="2" xfId="0" applyFont="1" applyBorder="1" applyAlignment="1">
      <alignment horizontal="center" vertical="center" wrapText="1" readingOrder="1"/>
    </xf>
    <xf numFmtId="3" fontId="1" fillId="0" borderId="2" xfId="0" applyNumberFormat="1" applyFont="1" applyBorder="1" applyAlignment="1">
      <alignment horizontal="center" vertical="center" wrapText="1" readingOrder="2"/>
    </xf>
    <xf numFmtId="2" fontId="4" fillId="0" borderId="2" xfId="0" applyNumberFormat="1" applyFont="1" applyBorder="1" applyAlignment="1">
      <alignment horizontal="center" vertical="center"/>
    </xf>
    <xf numFmtId="0" fontId="4" fillId="0" borderId="2" xfId="0" applyFont="1" applyBorder="1" applyAlignment="1">
      <alignment horizontal="center" vertical="center" wrapText="1"/>
    </xf>
    <xf numFmtId="9" fontId="4" fillId="0" borderId="2" xfId="0" applyNumberFormat="1"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1" xfId="0" applyFont="1" applyBorder="1" applyAlignment="1">
      <alignment horizontal="center" vertical="center"/>
    </xf>
    <xf numFmtId="0" fontId="0" fillId="0" borderId="2" xfId="0" applyBorder="1"/>
    <xf numFmtId="0" fontId="4" fillId="0" borderId="9" xfId="0" applyFont="1" applyBorder="1" applyAlignment="1">
      <alignment horizontal="center" vertical="center"/>
    </xf>
    <xf numFmtId="0" fontId="0" fillId="0" borderId="2" xfId="0" applyBorder="1" applyAlignment="1">
      <alignment horizontal="center"/>
    </xf>
    <xf numFmtId="2" fontId="4" fillId="0" borderId="1" xfId="0" applyNumberFormat="1" applyFont="1" applyBorder="1" applyAlignment="1">
      <alignment horizontal="center" vertical="center"/>
    </xf>
    <xf numFmtId="2" fontId="3" fillId="0" borderId="2" xfId="0" applyNumberFormat="1" applyFont="1" applyBorder="1" applyAlignment="1">
      <alignment horizontal="center"/>
    </xf>
    <xf numFmtId="0" fontId="3" fillId="0" borderId="2" xfId="0" applyFont="1" applyBorder="1" applyAlignment="1">
      <alignment horizontal="center"/>
    </xf>
    <xf numFmtId="0" fontId="4" fillId="0" borderId="7" xfId="0" applyFont="1" applyBorder="1" applyAlignment="1">
      <alignment horizontal="center" vertical="center" wrapText="1"/>
    </xf>
    <xf numFmtId="2" fontId="4" fillId="0" borderId="1" xfId="0" applyNumberFormat="1" applyFont="1" applyBorder="1" applyAlignment="1">
      <alignment horizontal="center" vertical="center" wrapText="1"/>
    </xf>
    <xf numFmtId="0" fontId="0" fillId="0" borderId="0" xfId="0" applyAlignment="1">
      <alignment horizontal="center" vertical="center"/>
    </xf>
    <xf numFmtId="0" fontId="2" fillId="0" borderId="0" xfId="0" applyFont="1"/>
    <xf numFmtId="0" fontId="3" fillId="0" borderId="0" xfId="0" applyFont="1" applyAlignment="1">
      <alignment horizontal="center"/>
    </xf>
    <xf numFmtId="2" fontId="3" fillId="0" borderId="0" xfId="0" applyNumberFormat="1" applyFont="1" applyAlignment="1">
      <alignment horizontal="center"/>
    </xf>
    <xf numFmtId="2" fontId="3" fillId="0" borderId="0" xfId="2" applyNumberFormat="1" applyFont="1" applyAlignment="1">
      <alignment horizontal="center"/>
    </xf>
    <xf numFmtId="9" fontId="3" fillId="0" borderId="0" xfId="2" applyFont="1" applyAlignment="1">
      <alignment horizontal="center"/>
    </xf>
    <xf numFmtId="9" fontId="0" fillId="0" borderId="0" xfId="2" applyFont="1"/>
    <xf numFmtId="0" fontId="0" fillId="4" borderId="17" xfId="0" applyFill="1" applyBorder="1"/>
    <xf numFmtId="0" fontId="3" fillId="0" borderId="21" xfId="0" applyFont="1" applyBorder="1" applyAlignment="1">
      <alignment horizontal="center"/>
    </xf>
    <xf numFmtId="0" fontId="6" fillId="2" borderId="0" xfId="0" applyFont="1" applyFill="1" applyAlignment="1">
      <alignment horizontal="center" vertical="center"/>
    </xf>
    <xf numFmtId="0" fontId="9" fillId="2" borderId="15" xfId="0" applyFont="1" applyFill="1" applyBorder="1" applyAlignment="1">
      <alignment horizontal="center" vertical="center"/>
    </xf>
    <xf numFmtId="2" fontId="9" fillId="2" borderId="15" xfId="0" applyNumberFormat="1" applyFont="1" applyFill="1" applyBorder="1" applyAlignment="1">
      <alignment horizontal="center" vertical="center"/>
    </xf>
    <xf numFmtId="0" fontId="10" fillId="2" borderId="15" xfId="0" applyFont="1" applyFill="1" applyBorder="1" applyAlignment="1">
      <alignment horizontal="center" vertical="center"/>
    </xf>
    <xf numFmtId="2" fontId="9" fillId="2" borderId="15" xfId="2" applyNumberFormat="1" applyFont="1" applyFill="1" applyBorder="1" applyAlignment="1">
      <alignment horizontal="center" vertical="center"/>
    </xf>
    <xf numFmtId="9" fontId="9" fillId="2" borderId="15" xfId="2" applyFont="1" applyFill="1" applyBorder="1" applyAlignment="1">
      <alignment horizontal="center" vertical="center"/>
    </xf>
    <xf numFmtId="0" fontId="9" fillId="2" borderId="16" xfId="0" applyFont="1" applyFill="1" applyBorder="1" applyAlignment="1">
      <alignment horizontal="center" vertical="center"/>
    </xf>
    <xf numFmtId="0" fontId="9" fillId="2" borderId="19" xfId="0" applyFont="1" applyFill="1" applyBorder="1" applyAlignment="1">
      <alignment horizontal="center"/>
    </xf>
    <xf numFmtId="2" fontId="1" fillId="0" borderId="3" xfId="0" applyNumberFormat="1" applyFont="1" applyBorder="1" applyAlignment="1">
      <alignment horizontal="center" vertical="center" wrapText="1" readingOrder="2"/>
    </xf>
    <xf numFmtId="2" fontId="1" fillId="0" borderId="4" xfId="0" applyNumberFormat="1" applyFont="1" applyBorder="1" applyAlignment="1">
      <alignment horizontal="center" vertical="center" wrapText="1" readingOrder="2"/>
    </xf>
    <xf numFmtId="2" fontId="4" fillId="0" borderId="7" xfId="0" applyNumberFormat="1" applyFont="1" applyBorder="1" applyAlignment="1">
      <alignment horizontal="center" vertical="center"/>
    </xf>
    <xf numFmtId="2" fontId="1" fillId="0" borderId="4" xfId="0" applyNumberFormat="1" applyFont="1" applyBorder="1" applyAlignment="1">
      <alignment horizontal="center" vertical="center" wrapText="1" readingOrder="1"/>
    </xf>
    <xf numFmtId="2" fontId="1" fillId="0" borderId="5" xfId="0" applyNumberFormat="1" applyFont="1" applyBorder="1" applyAlignment="1">
      <alignment horizontal="center" vertical="center" wrapText="1" readingOrder="2"/>
    </xf>
    <xf numFmtId="2" fontId="1" fillId="0" borderId="6" xfId="0" applyNumberFormat="1" applyFont="1" applyBorder="1" applyAlignment="1">
      <alignment horizontal="center" vertical="center" wrapText="1" readingOrder="2"/>
    </xf>
    <xf numFmtId="2" fontId="4" fillId="0" borderId="6" xfId="0" applyNumberFormat="1" applyFont="1" applyBorder="1" applyAlignment="1">
      <alignment horizontal="center" vertical="center" wrapText="1"/>
    </xf>
    <xf numFmtId="2" fontId="4" fillId="0" borderId="7" xfId="0" applyNumberFormat="1" applyFont="1" applyBorder="1" applyAlignment="1">
      <alignment horizontal="center" vertical="center" wrapText="1"/>
    </xf>
    <xf numFmtId="2" fontId="1" fillId="0" borderId="10" xfId="0" applyNumberFormat="1" applyFont="1" applyBorder="1" applyAlignment="1">
      <alignment horizontal="center" vertical="center" wrapText="1" readingOrder="2"/>
    </xf>
    <xf numFmtId="2" fontId="4" fillId="0" borderId="7" xfId="0" applyNumberFormat="1" applyFont="1" applyBorder="1" applyAlignment="1">
      <alignment horizontal="center"/>
    </xf>
    <xf numFmtId="2" fontId="4" fillId="0" borderId="11" xfId="0" applyNumberFormat="1" applyFont="1" applyBorder="1" applyAlignment="1">
      <alignment horizontal="center" vertical="center"/>
    </xf>
    <xf numFmtId="2" fontId="1" fillId="0" borderId="5" xfId="0" applyNumberFormat="1" applyFont="1" applyBorder="1" applyAlignment="1">
      <alignment horizontal="center" vertical="center" wrapText="1" readingOrder="1"/>
    </xf>
    <xf numFmtId="2" fontId="4" fillId="0" borderId="7" xfId="0" applyNumberFormat="1" applyFont="1" applyBorder="1" applyAlignment="1">
      <alignment horizontal="center" vertical="center" wrapText="1" readingOrder="2"/>
    </xf>
    <xf numFmtId="2" fontId="4" fillId="0" borderId="11" xfId="0" applyNumberFormat="1" applyFont="1" applyBorder="1" applyAlignment="1">
      <alignment horizontal="center"/>
    </xf>
    <xf numFmtId="2" fontId="4" fillId="0" borderId="6" xfId="0" applyNumberFormat="1" applyFont="1" applyBorder="1" applyAlignment="1">
      <alignment horizontal="center"/>
    </xf>
    <xf numFmtId="0" fontId="1"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1" fillId="3" borderId="2" xfId="0" applyFont="1" applyFill="1" applyBorder="1" applyAlignment="1">
      <alignment horizontal="center" vertical="center" wrapText="1" readingOrder="2"/>
    </xf>
    <xf numFmtId="2" fontId="1" fillId="3" borderId="2" xfId="0" applyNumberFormat="1" applyFont="1" applyFill="1" applyBorder="1" applyAlignment="1">
      <alignment horizontal="center" vertical="center" wrapText="1" readingOrder="2"/>
    </xf>
    <xf numFmtId="2" fontId="1" fillId="3" borderId="12" xfId="0" applyNumberFormat="1" applyFont="1" applyFill="1" applyBorder="1" applyAlignment="1">
      <alignment horizontal="center" vertical="center" wrapText="1" readingOrder="2"/>
    </xf>
    <xf numFmtId="9" fontId="1" fillId="3" borderId="2" xfId="2" applyFont="1" applyFill="1" applyBorder="1" applyAlignment="1">
      <alignment horizontal="center" vertical="center" wrapText="1" readingOrder="2"/>
    </xf>
    <xf numFmtId="2" fontId="1" fillId="3" borderId="2" xfId="2" applyNumberFormat="1" applyFont="1" applyFill="1" applyBorder="1" applyAlignment="1">
      <alignment horizontal="center" vertical="center" wrapText="1" readingOrder="2"/>
    </xf>
    <xf numFmtId="9" fontId="2" fillId="3" borderId="2" xfId="2" applyFont="1" applyFill="1" applyBorder="1" applyAlignment="1">
      <alignment horizontal="center" vertical="center"/>
    </xf>
    <xf numFmtId="9" fontId="0" fillId="5" borderId="2" xfId="0" applyNumberFormat="1" applyFill="1" applyBorder="1"/>
    <xf numFmtId="10" fontId="1" fillId="0" borderId="2" xfId="2" applyNumberFormat="1" applyFont="1" applyBorder="1" applyAlignment="1">
      <alignment horizontal="center" vertical="center" wrapText="1" readingOrder="2"/>
    </xf>
    <xf numFmtId="4" fontId="1" fillId="0" borderId="2" xfId="2" applyNumberFormat="1" applyFont="1" applyBorder="1" applyAlignment="1">
      <alignment horizontal="center" vertical="center" wrapText="1" readingOrder="2"/>
    </xf>
    <xf numFmtId="10" fontId="2" fillId="0" borderId="4" xfId="2" applyNumberFormat="1" applyFont="1" applyBorder="1" applyAlignment="1">
      <alignment horizontal="center" vertical="center"/>
    </xf>
    <xf numFmtId="4" fontId="1" fillId="0" borderId="2" xfId="2" applyNumberFormat="1" applyFont="1" applyBorder="1" applyAlignment="1">
      <alignment horizontal="center" vertical="center" wrapText="1" readingOrder="1"/>
    </xf>
    <xf numFmtId="10" fontId="1" fillId="0" borderId="2" xfId="2" applyNumberFormat="1" applyFont="1" applyBorder="1" applyAlignment="1">
      <alignment horizontal="center" vertical="center" wrapText="1" readingOrder="1"/>
    </xf>
    <xf numFmtId="4" fontId="4" fillId="0" borderId="2" xfId="2" applyNumberFormat="1" applyFont="1" applyBorder="1" applyAlignment="1">
      <alignment horizontal="center" vertical="center"/>
    </xf>
    <xf numFmtId="10" fontId="4" fillId="0" borderId="2" xfId="2" applyNumberFormat="1" applyFont="1" applyBorder="1" applyAlignment="1">
      <alignment horizontal="center" vertical="center"/>
    </xf>
    <xf numFmtId="4" fontId="3" fillId="0" borderId="2" xfId="2" applyNumberFormat="1" applyFont="1" applyBorder="1" applyAlignment="1">
      <alignment horizontal="center"/>
    </xf>
    <xf numFmtId="10" fontId="3" fillId="0" borderId="2" xfId="2" applyNumberFormat="1" applyFont="1" applyBorder="1" applyAlignment="1">
      <alignment horizontal="center"/>
    </xf>
    <xf numFmtId="10" fontId="0" fillId="0" borderId="4" xfId="2" applyNumberFormat="1" applyFont="1" applyBorder="1"/>
    <xf numFmtId="10" fontId="7" fillId="0" borderId="4" xfId="2" applyNumberFormat="1" applyBorder="1"/>
    <xf numFmtId="0" fontId="1" fillId="0" borderId="0" xfId="0" applyFont="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2" fontId="4" fillId="0" borderId="0" xfId="2" applyNumberFormat="1" applyFont="1" applyAlignment="1">
      <alignment horizontal="center"/>
    </xf>
    <xf numFmtId="9" fontId="4" fillId="0" borderId="0" xfId="2" applyFont="1" applyAlignment="1">
      <alignment horizontal="center"/>
    </xf>
    <xf numFmtId="9" fontId="2" fillId="0" borderId="0" xfId="2" applyFont="1"/>
    <xf numFmtId="0" fontId="8" fillId="2" borderId="0" xfId="0" applyFont="1" applyFill="1" applyAlignment="1">
      <alignment horizontal="center" vertical="center"/>
    </xf>
    <xf numFmtId="0" fontId="8" fillId="0" borderId="0" xfId="0" applyFont="1"/>
    <xf numFmtId="0" fontId="8" fillId="6" borderId="13" xfId="0" applyFont="1" applyFill="1" applyBorder="1" applyAlignment="1">
      <alignment horizontal="center" vertical="center"/>
    </xf>
    <xf numFmtId="2" fontId="8" fillId="6" borderId="13" xfId="0" applyNumberFormat="1" applyFont="1" applyFill="1" applyBorder="1" applyAlignment="1">
      <alignment horizontal="center" vertical="center"/>
    </xf>
    <xf numFmtId="2" fontId="8" fillId="6" borderId="13" xfId="2" applyNumberFormat="1" applyFont="1" applyFill="1" applyBorder="1" applyAlignment="1">
      <alignment horizontal="center" vertical="center"/>
    </xf>
    <xf numFmtId="9" fontId="8" fillId="6" borderId="13" xfId="2" applyFont="1" applyFill="1" applyBorder="1" applyAlignment="1">
      <alignment horizontal="center" vertical="center"/>
    </xf>
    <xf numFmtId="0" fontId="8" fillId="6" borderId="14" xfId="0" applyFont="1" applyFill="1" applyBorder="1" applyAlignment="1">
      <alignment horizontal="center" vertical="center"/>
    </xf>
    <xf numFmtId="0" fontId="8" fillId="6" borderId="3" xfId="0" applyFont="1" applyFill="1" applyBorder="1" applyAlignment="1">
      <alignment horizontal="center"/>
    </xf>
    <xf numFmtId="0" fontId="13" fillId="8" borderId="2" xfId="0" applyFont="1" applyFill="1" applyBorder="1" applyAlignment="1">
      <alignment horizontal="center" vertical="center"/>
    </xf>
    <xf numFmtId="0" fontId="6" fillId="8" borderId="2" xfId="0" applyFont="1" applyFill="1" applyBorder="1" applyAlignment="1">
      <alignment horizontal="center" vertical="center"/>
    </xf>
    <xf numFmtId="0" fontId="13" fillId="8" borderId="2" xfId="0" applyFont="1" applyFill="1" applyBorder="1" applyAlignment="1">
      <alignment horizontal="center" vertical="center" wrapText="1" readingOrder="2"/>
    </xf>
    <xf numFmtId="2" fontId="13" fillId="8" borderId="2" xfId="0" applyNumberFormat="1" applyFont="1" applyFill="1" applyBorder="1" applyAlignment="1">
      <alignment horizontal="center" vertical="center" wrapText="1" readingOrder="2"/>
    </xf>
    <xf numFmtId="2" fontId="13" fillId="8" borderId="3" xfId="0" applyNumberFormat="1" applyFont="1" applyFill="1" applyBorder="1" applyAlignment="1">
      <alignment horizontal="center" vertical="center" wrapText="1" readingOrder="2"/>
    </xf>
    <xf numFmtId="10" fontId="13" fillId="8" borderId="2" xfId="2" applyNumberFormat="1" applyFont="1" applyFill="1" applyBorder="1" applyAlignment="1">
      <alignment horizontal="center" vertical="center" wrapText="1" readingOrder="2"/>
    </xf>
    <xf numFmtId="4" fontId="13" fillId="8" borderId="2" xfId="2" applyNumberFormat="1" applyFont="1" applyFill="1" applyBorder="1" applyAlignment="1">
      <alignment horizontal="center" vertical="center" wrapText="1" readingOrder="2"/>
    </xf>
    <xf numFmtId="10" fontId="6" fillId="8" borderId="4" xfId="2" applyNumberFormat="1" applyFont="1" applyFill="1" applyBorder="1" applyAlignment="1">
      <alignment horizontal="center" vertical="center"/>
    </xf>
    <xf numFmtId="0" fontId="14" fillId="0" borderId="21" xfId="0" applyFont="1" applyBorder="1" applyAlignment="1">
      <alignment horizontal="center"/>
    </xf>
    <xf numFmtId="0" fontId="14" fillId="0" borderId="0" xfId="0" applyFont="1"/>
    <xf numFmtId="0" fontId="13" fillId="0" borderId="2" xfId="0" applyFont="1" applyBorder="1" applyAlignment="1">
      <alignment horizontal="center" vertical="center"/>
    </xf>
    <xf numFmtId="0" fontId="6" fillId="0" borderId="2" xfId="0" applyFont="1" applyBorder="1" applyAlignment="1">
      <alignment horizontal="center" vertical="center"/>
    </xf>
    <xf numFmtId="0" fontId="13" fillId="0" borderId="2" xfId="0" applyFont="1" applyBorder="1" applyAlignment="1">
      <alignment horizontal="center" vertical="center" wrapText="1" readingOrder="2"/>
    </xf>
    <xf numFmtId="2" fontId="13" fillId="0" borderId="2" xfId="0" applyNumberFormat="1" applyFont="1" applyBorder="1" applyAlignment="1">
      <alignment horizontal="center" vertical="center" wrapText="1" readingOrder="2"/>
    </xf>
    <xf numFmtId="2" fontId="13" fillId="0" borderId="4" xfId="0" applyNumberFormat="1" applyFont="1" applyBorder="1" applyAlignment="1">
      <alignment horizontal="center" vertical="center" wrapText="1" readingOrder="2"/>
    </xf>
    <xf numFmtId="10" fontId="13" fillId="0" borderId="2" xfId="2" applyNumberFormat="1" applyFont="1" applyBorder="1" applyAlignment="1">
      <alignment horizontal="center" vertical="center" wrapText="1" readingOrder="2"/>
    </xf>
    <xf numFmtId="4" fontId="13" fillId="0" borderId="2" xfId="2" applyNumberFormat="1" applyFont="1" applyBorder="1" applyAlignment="1">
      <alignment horizontal="center" vertical="center" wrapText="1" readingOrder="2"/>
    </xf>
    <xf numFmtId="9" fontId="13" fillId="0" borderId="2" xfId="0" applyNumberFormat="1" applyFont="1" applyBorder="1" applyAlignment="1">
      <alignment horizontal="center" vertical="center" wrapText="1" readingOrder="2"/>
    </xf>
    <xf numFmtId="10" fontId="6" fillId="0" borderId="4" xfId="2" applyNumberFormat="1" applyFont="1" applyBorder="1" applyAlignment="1">
      <alignment horizontal="center" vertical="center"/>
    </xf>
    <xf numFmtId="2" fontId="13" fillId="8" borderId="4" xfId="0" applyNumberFormat="1" applyFont="1" applyFill="1" applyBorder="1" applyAlignment="1">
      <alignment horizontal="center" vertical="center" wrapText="1" readingOrder="2"/>
    </xf>
    <xf numFmtId="0" fontId="6" fillId="0" borderId="0" xfId="0" applyFont="1" applyAlignment="1">
      <alignment horizontal="center" vertical="center"/>
    </xf>
    <xf numFmtId="2" fontId="13" fillId="8" borderId="2" xfId="0" applyNumberFormat="1" applyFont="1" applyFill="1" applyBorder="1" applyAlignment="1">
      <alignment horizontal="center" vertical="center" wrapText="1" readingOrder="1"/>
    </xf>
    <xf numFmtId="2" fontId="6" fillId="8" borderId="7" xfId="0" applyNumberFormat="1" applyFont="1" applyFill="1" applyBorder="1" applyAlignment="1">
      <alignment horizontal="center" vertical="center"/>
    </xf>
    <xf numFmtId="4" fontId="13" fillId="8" borderId="2" xfId="2" applyNumberFormat="1" applyFont="1" applyFill="1" applyBorder="1" applyAlignment="1">
      <alignment horizontal="center" vertical="center" wrapText="1" readingOrder="1"/>
    </xf>
    <xf numFmtId="10" fontId="13" fillId="8" borderId="2" xfId="2" applyNumberFormat="1" applyFont="1" applyFill="1" applyBorder="1" applyAlignment="1">
      <alignment horizontal="center" vertical="center" wrapText="1" readingOrder="1"/>
    </xf>
    <xf numFmtId="0" fontId="13" fillId="8" borderId="2" xfId="0" applyFont="1" applyFill="1" applyBorder="1" applyAlignment="1">
      <alignment horizontal="center" vertical="center" wrapText="1" readingOrder="1"/>
    </xf>
    <xf numFmtId="2" fontId="13" fillId="0" borderId="2" xfId="0" applyNumberFormat="1" applyFont="1" applyBorder="1" applyAlignment="1">
      <alignment horizontal="center" vertical="center" wrapText="1" readingOrder="1"/>
    </xf>
    <xf numFmtId="2" fontId="13" fillId="0" borderId="4" xfId="0" applyNumberFormat="1" applyFont="1" applyBorder="1" applyAlignment="1">
      <alignment horizontal="center" vertical="center" wrapText="1" readingOrder="1"/>
    </xf>
    <xf numFmtId="4" fontId="13" fillId="0" borderId="2" xfId="2" applyNumberFormat="1" applyFont="1" applyBorder="1" applyAlignment="1">
      <alignment horizontal="center" vertical="center" wrapText="1" readingOrder="1"/>
    </xf>
    <xf numFmtId="10" fontId="13" fillId="0" borderId="2" xfId="2" applyNumberFormat="1" applyFont="1" applyBorder="1" applyAlignment="1">
      <alignment horizontal="center" vertical="center" wrapText="1" readingOrder="1"/>
    </xf>
    <xf numFmtId="0" fontId="13" fillId="0" borderId="2" xfId="0" applyFont="1" applyBorder="1" applyAlignment="1">
      <alignment horizontal="center" vertical="center" wrapText="1" readingOrder="1"/>
    </xf>
    <xf numFmtId="2" fontId="6" fillId="0" borderId="7" xfId="0" applyNumberFormat="1" applyFont="1" applyBorder="1" applyAlignment="1">
      <alignment horizontal="center" vertical="center"/>
    </xf>
    <xf numFmtId="3" fontId="13" fillId="0" borderId="2" xfId="0" applyNumberFormat="1" applyFont="1" applyBorder="1" applyAlignment="1">
      <alignment horizontal="center" vertical="center" wrapText="1" readingOrder="2"/>
    </xf>
    <xf numFmtId="2" fontId="6" fillId="8" borderId="2" xfId="0" applyNumberFormat="1" applyFont="1" applyFill="1" applyBorder="1" applyAlignment="1">
      <alignment horizontal="center" vertical="center"/>
    </xf>
    <xf numFmtId="4" fontId="6" fillId="8" borderId="2" xfId="2" applyNumberFormat="1" applyFont="1" applyFill="1" applyBorder="1" applyAlignment="1">
      <alignment horizontal="center" vertical="center"/>
    </xf>
    <xf numFmtId="10" fontId="6" fillId="8" borderId="2" xfId="2" applyNumberFormat="1" applyFont="1" applyFill="1" applyBorder="1" applyAlignment="1">
      <alignment horizontal="center" vertical="center"/>
    </xf>
    <xf numFmtId="2" fontId="6" fillId="0" borderId="2" xfId="0" applyNumberFormat="1" applyFont="1" applyBorder="1" applyAlignment="1">
      <alignment horizontal="center" vertical="center"/>
    </xf>
    <xf numFmtId="4" fontId="6" fillId="0" borderId="2" xfId="2" applyNumberFormat="1" applyFont="1" applyBorder="1" applyAlignment="1">
      <alignment horizontal="center" vertical="center"/>
    </xf>
    <xf numFmtId="10" fontId="6" fillId="0" borderId="2" xfId="2" applyNumberFormat="1" applyFont="1" applyBorder="1" applyAlignment="1">
      <alignment horizontal="center" vertical="center"/>
    </xf>
    <xf numFmtId="9" fontId="13" fillId="8" borderId="2" xfId="0" applyNumberFormat="1" applyFont="1" applyFill="1" applyBorder="1" applyAlignment="1">
      <alignment horizontal="center" vertical="center" wrapText="1" readingOrder="2"/>
    </xf>
    <xf numFmtId="0" fontId="6" fillId="8" borderId="2" xfId="0" applyFont="1" applyFill="1" applyBorder="1" applyAlignment="1">
      <alignment horizontal="center" vertical="center" wrapText="1"/>
    </xf>
    <xf numFmtId="9" fontId="6" fillId="0" borderId="2" xfId="0" applyNumberFormat="1" applyFont="1" applyBorder="1" applyAlignment="1">
      <alignment horizontal="center" vertical="center"/>
    </xf>
    <xf numFmtId="0" fontId="6" fillId="0" borderId="2" xfId="0" applyFont="1" applyBorder="1" applyAlignment="1">
      <alignment horizontal="center" vertical="center" wrapText="1"/>
    </xf>
    <xf numFmtId="3" fontId="13" fillId="8" borderId="2" xfId="0" applyNumberFormat="1" applyFont="1" applyFill="1" applyBorder="1" applyAlignment="1">
      <alignment horizontal="center" vertical="center" wrapText="1" readingOrder="2"/>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6" fillId="8" borderId="1" xfId="0" applyFont="1" applyFill="1" applyBorder="1" applyAlignment="1">
      <alignment horizontal="center" vertical="center"/>
    </xf>
    <xf numFmtId="0" fontId="6" fillId="8" borderId="7" xfId="0" applyFont="1" applyFill="1" applyBorder="1" applyAlignment="1">
      <alignment horizontal="center" vertical="center"/>
    </xf>
    <xf numFmtId="0" fontId="6" fillId="8" borderId="2" xfId="0" applyFont="1" applyFill="1" applyBorder="1" applyAlignment="1">
      <alignment horizontal="center"/>
    </xf>
    <xf numFmtId="0" fontId="6" fillId="8" borderId="9" xfId="0" applyFont="1" applyFill="1" applyBorder="1" applyAlignment="1">
      <alignment horizontal="center" vertical="center"/>
    </xf>
    <xf numFmtId="2" fontId="6" fillId="8" borderId="1" xfId="0" applyNumberFormat="1" applyFont="1" applyFill="1" applyBorder="1" applyAlignment="1">
      <alignment horizontal="center" vertical="center"/>
    </xf>
    <xf numFmtId="2" fontId="6" fillId="8" borderId="6" xfId="0" applyNumberFormat="1" applyFont="1" applyFill="1" applyBorder="1" applyAlignment="1">
      <alignment horizontal="center" vertical="center" wrapText="1"/>
    </xf>
    <xf numFmtId="2" fontId="6" fillId="8" borderId="2" xfId="0" applyNumberFormat="1" applyFont="1" applyFill="1" applyBorder="1" applyAlignment="1">
      <alignment horizontal="center"/>
    </xf>
    <xf numFmtId="4" fontId="6" fillId="8" borderId="2" xfId="2" applyNumberFormat="1" applyFont="1" applyFill="1" applyBorder="1" applyAlignment="1">
      <alignment horizontal="center"/>
    </xf>
    <xf numFmtId="10" fontId="6" fillId="8" borderId="2" xfId="2" applyNumberFormat="1" applyFont="1" applyFill="1" applyBorder="1" applyAlignment="1">
      <alignment horizontal="center"/>
    </xf>
    <xf numFmtId="10" fontId="6" fillId="8" borderId="4" xfId="2" applyNumberFormat="1" applyFont="1" applyFill="1" applyBorder="1"/>
    <xf numFmtId="0" fontId="6" fillId="0" borderId="21" xfId="0" applyFont="1" applyBorder="1" applyAlignment="1">
      <alignment horizontal="center"/>
    </xf>
    <xf numFmtId="0" fontId="6" fillId="0" borderId="1" xfId="0" applyFont="1" applyBorder="1" applyAlignment="1">
      <alignment horizontal="center" vertical="center"/>
    </xf>
    <xf numFmtId="0" fontId="6" fillId="0" borderId="7" xfId="0" applyFont="1" applyBorder="1" applyAlignment="1">
      <alignment horizontal="center" vertical="center"/>
    </xf>
    <xf numFmtId="0" fontId="6" fillId="0" borderId="2" xfId="0" applyFont="1" applyBorder="1" applyAlignment="1">
      <alignment horizontal="center"/>
    </xf>
    <xf numFmtId="0" fontId="6" fillId="0" borderId="9" xfId="0" applyFont="1" applyBorder="1" applyAlignment="1">
      <alignment horizontal="center" vertical="center"/>
    </xf>
    <xf numFmtId="2" fontId="6" fillId="0" borderId="1" xfId="0" applyNumberFormat="1" applyFont="1" applyBorder="1" applyAlignment="1">
      <alignment horizontal="center" vertical="center"/>
    </xf>
    <xf numFmtId="2" fontId="6" fillId="0" borderId="7" xfId="0" applyNumberFormat="1" applyFont="1" applyBorder="1" applyAlignment="1">
      <alignment horizontal="center" vertical="center" wrapText="1"/>
    </xf>
    <xf numFmtId="2" fontId="6" fillId="0" borderId="2" xfId="0" applyNumberFormat="1" applyFont="1" applyBorder="1" applyAlignment="1">
      <alignment horizontal="center"/>
    </xf>
    <xf numFmtId="4" fontId="6" fillId="0" borderId="2" xfId="2" applyNumberFormat="1" applyFont="1" applyBorder="1" applyAlignment="1">
      <alignment horizontal="center"/>
    </xf>
    <xf numFmtId="10" fontId="6" fillId="0" borderId="2" xfId="2" applyNumberFormat="1" applyFont="1" applyBorder="1" applyAlignment="1">
      <alignment horizontal="center"/>
    </xf>
    <xf numFmtId="10" fontId="6" fillId="0" borderId="4" xfId="2" applyNumberFormat="1" applyFont="1" applyBorder="1"/>
    <xf numFmtId="2" fontId="13" fillId="8" borderId="10" xfId="0" applyNumberFormat="1" applyFont="1" applyFill="1" applyBorder="1" applyAlignment="1">
      <alignment horizontal="center" vertical="center" wrapText="1" readingOrder="2"/>
    </xf>
    <xf numFmtId="2" fontId="6" fillId="0" borderId="7" xfId="0" applyNumberFormat="1" applyFont="1" applyBorder="1" applyAlignment="1">
      <alignment horizontal="center"/>
    </xf>
    <xf numFmtId="2" fontId="6" fillId="8" borderId="11" xfId="0" applyNumberFormat="1" applyFont="1" applyFill="1" applyBorder="1" applyAlignment="1">
      <alignment horizontal="center" vertical="center"/>
    </xf>
    <xf numFmtId="2" fontId="13" fillId="0" borderId="5" xfId="0" applyNumberFormat="1" applyFont="1" applyBorder="1" applyAlignment="1">
      <alignment horizontal="center" vertical="center" wrapText="1" readingOrder="1"/>
    </xf>
    <xf numFmtId="0" fontId="13" fillId="8" borderId="0" xfId="0" applyFont="1" applyFill="1" applyAlignment="1">
      <alignment horizontal="center"/>
    </xf>
    <xf numFmtId="2" fontId="6" fillId="8" borderId="7" xfId="0" applyNumberFormat="1" applyFont="1" applyFill="1" applyBorder="1" applyAlignment="1">
      <alignment horizontal="center" vertical="center" wrapText="1"/>
    </xf>
    <xf numFmtId="2" fontId="13" fillId="0" borderId="3" xfId="0" applyNumberFormat="1" applyFont="1" applyBorder="1" applyAlignment="1">
      <alignment horizontal="center" vertical="center" wrapText="1" readingOrder="2"/>
    </xf>
    <xf numFmtId="2" fontId="13" fillId="0" borderId="10" xfId="0" applyNumberFormat="1" applyFont="1" applyBorder="1" applyAlignment="1">
      <alignment horizontal="center" vertical="center" wrapText="1" readingOrder="2"/>
    </xf>
    <xf numFmtId="0" fontId="6" fillId="8" borderId="7" xfId="0" applyFont="1" applyFill="1" applyBorder="1" applyAlignment="1">
      <alignment horizontal="center" vertical="center" wrapText="1"/>
    </xf>
    <xf numFmtId="0" fontId="6" fillId="9" borderId="1" xfId="0" applyFont="1" applyFill="1" applyBorder="1" applyAlignment="1">
      <alignment horizontal="center" vertical="center"/>
    </xf>
    <xf numFmtId="0" fontId="6" fillId="9" borderId="7" xfId="0" applyFont="1" applyFill="1" applyBorder="1" applyAlignment="1">
      <alignment horizontal="center" vertical="center"/>
    </xf>
    <xf numFmtId="0" fontId="6" fillId="9" borderId="2" xfId="0" applyFont="1" applyFill="1" applyBorder="1" applyAlignment="1">
      <alignment horizontal="center"/>
    </xf>
    <xf numFmtId="0" fontId="6" fillId="9" borderId="9" xfId="0" applyFont="1" applyFill="1" applyBorder="1" applyAlignment="1">
      <alignment horizontal="center" vertical="center"/>
    </xf>
    <xf numFmtId="0" fontId="6" fillId="9" borderId="2" xfId="0" applyFont="1" applyFill="1" applyBorder="1" applyAlignment="1">
      <alignment horizontal="center" vertical="center"/>
    </xf>
    <xf numFmtId="2" fontId="6" fillId="9" borderId="2" xfId="0" applyNumberFormat="1" applyFont="1" applyFill="1" applyBorder="1" applyAlignment="1">
      <alignment horizontal="center"/>
    </xf>
    <xf numFmtId="10" fontId="13" fillId="9" borderId="2" xfId="2" applyNumberFormat="1" applyFont="1" applyFill="1" applyBorder="1" applyAlignment="1">
      <alignment horizontal="center" vertical="center" wrapText="1" readingOrder="2"/>
    </xf>
    <xf numFmtId="4" fontId="6" fillId="9" borderId="2" xfId="2" applyNumberFormat="1" applyFont="1" applyFill="1" applyBorder="1" applyAlignment="1">
      <alignment horizontal="center"/>
    </xf>
    <xf numFmtId="10" fontId="6" fillId="9" borderId="2" xfId="2" applyNumberFormat="1" applyFont="1" applyFill="1" applyBorder="1" applyAlignment="1">
      <alignment horizontal="center"/>
    </xf>
    <xf numFmtId="10" fontId="6" fillId="9" borderId="4" xfId="2" applyNumberFormat="1" applyFont="1" applyFill="1" applyBorder="1"/>
    <xf numFmtId="0" fontId="6" fillId="9" borderId="7" xfId="0" applyFont="1" applyFill="1" applyBorder="1" applyAlignment="1">
      <alignment horizontal="center" vertical="center" wrapText="1"/>
    </xf>
    <xf numFmtId="2" fontId="6" fillId="8" borderId="11" xfId="0" applyNumberFormat="1" applyFont="1" applyFill="1" applyBorder="1" applyAlignment="1">
      <alignment horizontal="center"/>
    </xf>
    <xf numFmtId="2" fontId="6" fillId="8" borderId="6" xfId="0" applyNumberFormat="1" applyFont="1" applyFill="1" applyBorder="1" applyAlignment="1">
      <alignment horizontal="center"/>
    </xf>
    <xf numFmtId="0" fontId="6" fillId="0" borderId="7" xfId="0" applyFont="1" applyBorder="1" applyAlignment="1">
      <alignment horizontal="center" vertical="center" wrapText="1"/>
    </xf>
    <xf numFmtId="0" fontId="2" fillId="0" borderId="23" xfId="0" applyFont="1" applyBorder="1" applyAlignment="1">
      <alignment horizontal="center" vertical="center"/>
    </xf>
    <xf numFmtId="10" fontId="2" fillId="0" borderId="23" xfId="0" applyNumberFormat="1" applyFont="1" applyBorder="1" applyAlignment="1">
      <alignment horizontal="center" vertical="center"/>
    </xf>
    <xf numFmtId="0" fontId="2" fillId="8" borderId="23" xfId="0" applyFont="1" applyFill="1" applyBorder="1" applyAlignment="1">
      <alignment horizontal="center" vertical="center"/>
    </xf>
    <xf numFmtId="10" fontId="2" fillId="8" borderId="23" xfId="0" applyNumberFormat="1" applyFont="1" applyFill="1" applyBorder="1" applyAlignment="1">
      <alignment horizontal="center" vertical="center"/>
    </xf>
    <xf numFmtId="0" fontId="1" fillId="0" borderId="2" xfId="0" applyFont="1" applyBorder="1" applyAlignment="1">
      <alignment horizontal="center" vertical="center"/>
    </xf>
    <xf numFmtId="164" fontId="13" fillId="8" borderId="2" xfId="0" applyNumberFormat="1" applyFont="1" applyFill="1" applyBorder="1" applyAlignment="1">
      <alignment horizontal="center" vertical="center" wrapText="1" readingOrder="2"/>
    </xf>
    <xf numFmtId="164" fontId="13" fillId="0" borderId="2" xfId="0" applyNumberFormat="1" applyFont="1" applyBorder="1" applyAlignment="1">
      <alignment horizontal="center" vertical="center" wrapText="1" readingOrder="2"/>
    </xf>
    <xf numFmtId="164" fontId="6" fillId="8" borderId="2" xfId="0" applyNumberFormat="1" applyFont="1" applyFill="1" applyBorder="1" applyAlignment="1">
      <alignment horizontal="center" vertical="center"/>
    </xf>
    <xf numFmtId="164" fontId="13" fillId="8" borderId="3" xfId="0" applyNumberFormat="1" applyFont="1" applyFill="1" applyBorder="1" applyAlignment="1">
      <alignment horizontal="center" vertical="center" wrapText="1" readingOrder="2"/>
    </xf>
    <xf numFmtId="164" fontId="13" fillId="8" borderId="4" xfId="0" applyNumberFormat="1" applyFont="1" applyFill="1" applyBorder="1" applyAlignment="1">
      <alignment horizontal="center" vertical="center" wrapText="1" readingOrder="2"/>
    </xf>
    <xf numFmtId="164" fontId="6" fillId="0" borderId="7" xfId="0" applyNumberFormat="1" applyFont="1" applyBorder="1" applyAlignment="1">
      <alignment horizontal="center" vertical="center"/>
    </xf>
    <xf numFmtId="164" fontId="13" fillId="0" borderId="4" xfId="0" applyNumberFormat="1" applyFont="1" applyBorder="1" applyAlignment="1">
      <alignment horizontal="center" vertical="center" wrapText="1" readingOrder="2"/>
    </xf>
    <xf numFmtId="10" fontId="13" fillId="0" borderId="4" xfId="0" applyNumberFormat="1" applyFont="1" applyBorder="1" applyAlignment="1">
      <alignment horizontal="center" vertical="center" wrapText="1" readingOrder="2"/>
    </xf>
    <xf numFmtId="10" fontId="13" fillId="8" borderId="2" xfId="0" applyNumberFormat="1" applyFont="1" applyFill="1" applyBorder="1" applyAlignment="1">
      <alignment horizontal="center" vertical="center" wrapText="1" readingOrder="2"/>
    </xf>
    <xf numFmtId="10" fontId="6" fillId="8" borderId="7" xfId="0" applyNumberFormat="1" applyFont="1" applyFill="1" applyBorder="1" applyAlignment="1">
      <alignment horizontal="center" vertical="center"/>
    </xf>
    <xf numFmtId="10" fontId="6" fillId="0" borderId="2" xfId="0" applyNumberFormat="1" applyFont="1" applyBorder="1" applyAlignment="1">
      <alignment horizontal="center" vertical="center"/>
    </xf>
    <xf numFmtId="10" fontId="6" fillId="0" borderId="7" xfId="0" applyNumberFormat="1" applyFont="1" applyBorder="1" applyAlignment="1">
      <alignment horizontal="center" vertical="center"/>
    </xf>
    <xf numFmtId="10" fontId="13" fillId="8" borderId="4" xfId="0" applyNumberFormat="1" applyFont="1" applyFill="1" applyBorder="1" applyAlignment="1">
      <alignment horizontal="center" vertical="center" wrapText="1" readingOrder="2"/>
    </xf>
    <xf numFmtId="10" fontId="13" fillId="0" borderId="2" xfId="0" applyNumberFormat="1" applyFont="1" applyBorder="1" applyAlignment="1">
      <alignment horizontal="center" vertical="center" wrapText="1" readingOrder="2"/>
    </xf>
    <xf numFmtId="10" fontId="13" fillId="0" borderId="5" xfId="0" applyNumberFormat="1" applyFont="1" applyBorder="1" applyAlignment="1">
      <alignment horizontal="center" vertical="center" wrapText="1" readingOrder="2"/>
    </xf>
    <xf numFmtId="10" fontId="13" fillId="0" borderId="6" xfId="0" applyNumberFormat="1" applyFont="1" applyBorder="1" applyAlignment="1">
      <alignment horizontal="center" vertical="center" wrapText="1" readingOrder="2"/>
    </xf>
    <xf numFmtId="10" fontId="13" fillId="8" borderId="6" xfId="0" applyNumberFormat="1" applyFont="1" applyFill="1" applyBorder="1" applyAlignment="1">
      <alignment horizontal="center" vertical="center" wrapText="1" readingOrder="2"/>
    </xf>
    <xf numFmtId="164" fontId="6" fillId="0" borderId="1" xfId="0" applyNumberFormat="1" applyFont="1" applyBorder="1" applyAlignment="1">
      <alignment horizontal="center" vertical="center"/>
    </xf>
    <xf numFmtId="164" fontId="6" fillId="0" borderId="7" xfId="0" applyNumberFormat="1" applyFont="1" applyBorder="1" applyAlignment="1">
      <alignment horizontal="center" vertical="center" wrapText="1"/>
    </xf>
    <xf numFmtId="10" fontId="6" fillId="8" borderId="1" xfId="0" applyNumberFormat="1" applyFont="1" applyFill="1" applyBorder="1" applyAlignment="1">
      <alignment horizontal="center" vertical="center"/>
    </xf>
    <xf numFmtId="10" fontId="6" fillId="8" borderId="7" xfId="0" applyNumberFormat="1" applyFont="1" applyFill="1" applyBorder="1" applyAlignment="1">
      <alignment horizontal="center" vertical="center" wrapText="1"/>
    </xf>
    <xf numFmtId="10" fontId="6" fillId="0" borderId="1" xfId="0" applyNumberFormat="1" applyFont="1" applyBorder="1" applyAlignment="1">
      <alignment horizontal="center" vertical="center"/>
    </xf>
    <xf numFmtId="10" fontId="6" fillId="0" borderId="7" xfId="0" applyNumberFormat="1" applyFont="1" applyBorder="1" applyAlignment="1">
      <alignment horizontal="center" vertical="center" wrapText="1"/>
    </xf>
    <xf numFmtId="10" fontId="6" fillId="9" borderId="1" xfId="0" applyNumberFormat="1" applyFont="1" applyFill="1" applyBorder="1" applyAlignment="1">
      <alignment horizontal="center" vertical="center"/>
    </xf>
    <xf numFmtId="10" fontId="6" fillId="9" borderId="7" xfId="0" applyNumberFormat="1" applyFont="1" applyFill="1" applyBorder="1" applyAlignment="1">
      <alignment horizontal="center" vertical="center" wrapText="1"/>
    </xf>
    <xf numFmtId="10" fontId="6" fillId="8" borderId="6" xfId="0" applyNumberFormat="1" applyFont="1" applyFill="1" applyBorder="1" applyAlignment="1">
      <alignment horizontal="center" vertical="center" wrapText="1"/>
    </xf>
    <xf numFmtId="10" fontId="6" fillId="8" borderId="7" xfId="0" applyNumberFormat="1" applyFont="1" applyFill="1" applyBorder="1" applyAlignment="1">
      <alignment horizontal="center" vertical="center" wrapText="1" readingOrder="2"/>
    </xf>
    <xf numFmtId="10" fontId="6" fillId="9" borderId="7" xfId="0" applyNumberFormat="1" applyFont="1" applyFill="1" applyBorder="1" applyAlignment="1">
      <alignment horizontal="center" vertical="center" wrapText="1" readingOrder="2"/>
    </xf>
    <xf numFmtId="10" fontId="6" fillId="0" borderId="1" xfId="0" applyNumberFormat="1" applyFont="1" applyBorder="1" applyAlignment="1">
      <alignment horizontal="center" vertical="center" wrapText="1"/>
    </xf>
    <xf numFmtId="10" fontId="6" fillId="8" borderId="1" xfId="0" applyNumberFormat="1" applyFont="1" applyFill="1" applyBorder="1" applyAlignment="1">
      <alignment horizontal="center" vertical="center" wrapText="1"/>
    </xf>
    <xf numFmtId="0" fontId="6" fillId="4" borderId="17" xfId="0" applyFont="1" applyFill="1" applyBorder="1"/>
    <xf numFmtId="9" fontId="6" fillId="5" borderId="2" xfId="0" applyNumberFormat="1" applyFont="1" applyFill="1" applyBorder="1"/>
    <xf numFmtId="0" fontId="15" fillId="7" borderId="23" xfId="0" applyFont="1" applyFill="1" applyBorder="1" applyAlignment="1">
      <alignment horizontal="center" vertical="center"/>
    </xf>
    <xf numFmtId="0" fontId="6" fillId="0" borderId="2" xfId="0" applyFont="1" applyBorder="1" applyAlignment="1">
      <alignment horizontal="center" wrapText="1"/>
    </xf>
    <xf numFmtId="10" fontId="6" fillId="0" borderId="2" xfId="0" applyNumberFormat="1" applyFont="1" applyBorder="1" applyAlignment="1">
      <alignment horizontal="center"/>
    </xf>
    <xf numFmtId="0" fontId="17" fillId="0" borderId="0" xfId="3" applyAlignment="1">
      <alignment horizontal="center" vertical="center" wrapText="1"/>
    </xf>
    <xf numFmtId="0" fontId="17" fillId="0" borderId="0" xfId="3" applyAlignment="1">
      <alignment horizontal="center" vertical="center"/>
    </xf>
    <xf numFmtId="0" fontId="6" fillId="8" borderId="2" xfId="0" applyFont="1" applyFill="1" applyBorder="1" applyAlignment="1">
      <alignment horizontal="center" wrapText="1"/>
    </xf>
    <xf numFmtId="0" fontId="17" fillId="0" borderId="2" xfId="3" applyBorder="1" applyAlignment="1">
      <alignment horizontal="center" vertical="center" wrapText="1" readingOrder="2"/>
    </xf>
    <xf numFmtId="0" fontId="17" fillId="8" borderId="2" xfId="3" applyFill="1" applyBorder="1" applyAlignment="1">
      <alignment horizontal="center" vertical="center" wrapText="1" readingOrder="2"/>
    </xf>
    <xf numFmtId="0" fontId="17" fillId="8" borderId="2" xfId="3" applyFill="1" applyBorder="1" applyAlignment="1">
      <alignment horizontal="center"/>
    </xf>
    <xf numFmtId="0" fontId="17" fillId="0" borderId="2" xfId="3" applyBorder="1" applyAlignment="1">
      <alignment horizontal="center"/>
    </xf>
    <xf numFmtId="0" fontId="0" fillId="0" borderId="17" xfId="0" applyBorder="1"/>
    <xf numFmtId="9" fontId="0" fillId="0" borderId="2" xfId="0" applyNumberFormat="1" applyBorder="1"/>
    <xf numFmtId="0" fontId="9" fillId="0" borderId="15" xfId="0" applyFont="1" applyBorder="1" applyAlignment="1">
      <alignment horizontal="center" vertical="center"/>
    </xf>
    <xf numFmtId="2" fontId="9" fillId="0" borderId="15" xfId="0" applyNumberFormat="1" applyFont="1" applyBorder="1" applyAlignment="1">
      <alignment horizontal="center" vertical="center"/>
    </xf>
    <xf numFmtId="0" fontId="10" fillId="0" borderId="15" xfId="0" applyFont="1" applyBorder="1" applyAlignment="1">
      <alignment horizontal="center" vertical="center"/>
    </xf>
    <xf numFmtId="2" fontId="9" fillId="0" borderId="15" xfId="2" applyNumberFormat="1" applyFont="1" applyBorder="1" applyAlignment="1">
      <alignment horizontal="center" vertical="center"/>
    </xf>
    <xf numFmtId="9" fontId="9" fillId="0" borderId="15" xfId="2" applyFont="1" applyBorder="1" applyAlignment="1">
      <alignment horizontal="center" vertical="center"/>
    </xf>
    <xf numFmtId="0" fontId="9" fillId="0" borderId="16" xfId="0" applyFont="1" applyBorder="1" applyAlignment="1">
      <alignment horizontal="center" vertical="center"/>
    </xf>
    <xf numFmtId="0" fontId="9" fillId="0" borderId="19" xfId="0" applyFont="1" applyBorder="1" applyAlignment="1">
      <alignment horizontal="center"/>
    </xf>
    <xf numFmtId="0" fontId="1" fillId="9" borderId="2" xfId="0" applyFont="1" applyFill="1" applyBorder="1" applyAlignment="1">
      <alignment horizontal="center" vertical="center"/>
    </xf>
    <xf numFmtId="0" fontId="4" fillId="9" borderId="2" xfId="0" applyFont="1" applyFill="1" applyBorder="1" applyAlignment="1">
      <alignment horizontal="center" vertical="center"/>
    </xf>
    <xf numFmtId="0" fontId="1" fillId="9" borderId="2" xfId="0" applyFont="1" applyFill="1" applyBorder="1" applyAlignment="1">
      <alignment horizontal="center" vertical="center" wrapText="1" readingOrder="2"/>
    </xf>
    <xf numFmtId="2" fontId="1" fillId="9" borderId="2" xfId="0" applyNumberFormat="1" applyFont="1" applyFill="1" applyBorder="1" applyAlignment="1">
      <alignment horizontal="center" vertical="center" wrapText="1" readingOrder="2"/>
    </xf>
    <xf numFmtId="2" fontId="1" fillId="9" borderId="4" xfId="0" applyNumberFormat="1" applyFont="1" applyFill="1" applyBorder="1" applyAlignment="1">
      <alignment horizontal="center" vertical="center" wrapText="1" readingOrder="2"/>
    </xf>
    <xf numFmtId="9" fontId="1" fillId="9" borderId="2" xfId="0" applyNumberFormat="1" applyFont="1" applyFill="1" applyBorder="1" applyAlignment="1">
      <alignment horizontal="center" vertical="center" wrapText="1" readingOrder="2"/>
    </xf>
    <xf numFmtId="2" fontId="1" fillId="9" borderId="2" xfId="0" applyNumberFormat="1" applyFont="1" applyFill="1" applyBorder="1" applyAlignment="1">
      <alignment horizontal="center" vertical="center" wrapText="1" readingOrder="1"/>
    </xf>
    <xf numFmtId="2" fontId="4" fillId="9" borderId="7" xfId="0" applyNumberFormat="1" applyFont="1" applyFill="1" applyBorder="1" applyAlignment="1">
      <alignment horizontal="center" vertical="center"/>
    </xf>
    <xf numFmtId="0" fontId="1" fillId="9" borderId="2" xfId="0" applyFont="1" applyFill="1" applyBorder="1" applyAlignment="1">
      <alignment horizontal="center" vertical="center" wrapText="1" readingOrder="1"/>
    </xf>
    <xf numFmtId="3" fontId="1" fillId="9" borderId="2" xfId="0" applyNumberFormat="1" applyFont="1" applyFill="1" applyBorder="1" applyAlignment="1">
      <alignment horizontal="center" vertical="center" wrapText="1" readingOrder="2"/>
    </xf>
    <xf numFmtId="2" fontId="4" fillId="9" borderId="2" xfId="0" applyNumberFormat="1" applyFont="1" applyFill="1" applyBorder="1" applyAlignment="1">
      <alignment horizontal="center" vertical="center"/>
    </xf>
    <xf numFmtId="0" fontId="4" fillId="9" borderId="2" xfId="0" applyFont="1" applyFill="1" applyBorder="1" applyAlignment="1">
      <alignment horizontal="center" vertical="center" wrapText="1"/>
    </xf>
    <xf numFmtId="0" fontId="4" fillId="9" borderId="1" xfId="0" applyFont="1" applyFill="1" applyBorder="1" applyAlignment="1">
      <alignment horizontal="center" vertical="center"/>
    </xf>
    <xf numFmtId="0" fontId="4" fillId="9" borderId="7" xfId="0" applyFont="1" applyFill="1" applyBorder="1" applyAlignment="1">
      <alignment horizontal="center" vertical="center"/>
    </xf>
    <xf numFmtId="0" fontId="4" fillId="9" borderId="9" xfId="0" applyFont="1" applyFill="1" applyBorder="1" applyAlignment="1">
      <alignment horizontal="center" vertical="center"/>
    </xf>
    <xf numFmtId="2" fontId="4" fillId="9" borderId="1" xfId="0" applyNumberFormat="1" applyFont="1" applyFill="1" applyBorder="1" applyAlignment="1">
      <alignment horizontal="center" vertical="center"/>
    </xf>
    <xf numFmtId="2" fontId="3" fillId="9" borderId="2" xfId="0" applyNumberFormat="1" applyFont="1" applyFill="1" applyBorder="1" applyAlignment="1">
      <alignment horizontal="center"/>
    </xf>
    <xf numFmtId="0" fontId="3" fillId="9" borderId="2" xfId="0" applyFont="1" applyFill="1" applyBorder="1" applyAlignment="1">
      <alignment horizontal="center"/>
    </xf>
    <xf numFmtId="2" fontId="4" fillId="9" borderId="7" xfId="0" applyNumberFormat="1" applyFont="1" applyFill="1" applyBorder="1" applyAlignment="1">
      <alignment horizontal="center" vertical="center" wrapText="1"/>
    </xf>
    <xf numFmtId="2" fontId="4" fillId="9" borderId="11" xfId="0" applyNumberFormat="1" applyFont="1" applyFill="1" applyBorder="1" applyAlignment="1">
      <alignment horizontal="center" vertical="center"/>
    </xf>
    <xf numFmtId="0" fontId="1" fillId="9" borderId="0" xfId="0" applyFont="1" applyFill="1" applyAlignment="1">
      <alignment horizontal="center"/>
    </xf>
    <xf numFmtId="0" fontId="4" fillId="9" borderId="7" xfId="0" applyFont="1" applyFill="1" applyBorder="1" applyAlignment="1">
      <alignment horizontal="center" vertical="center" wrapText="1"/>
    </xf>
    <xf numFmtId="2" fontId="4" fillId="9" borderId="1" xfId="0" applyNumberFormat="1" applyFont="1" applyFill="1" applyBorder="1" applyAlignment="1">
      <alignment horizontal="center" vertical="center" wrapText="1"/>
    </xf>
    <xf numFmtId="0" fontId="4" fillId="8" borderId="2" xfId="0" applyFont="1" applyFill="1" applyBorder="1" applyAlignment="1">
      <alignment horizontal="center" vertical="center"/>
    </xf>
    <xf numFmtId="0" fontId="1" fillId="8" borderId="2" xfId="0" applyFont="1" applyFill="1" applyBorder="1" applyAlignment="1">
      <alignment horizontal="center" vertical="center" wrapText="1" readingOrder="2"/>
    </xf>
    <xf numFmtId="2" fontId="1" fillId="8" borderId="2" xfId="0" applyNumberFormat="1" applyFont="1" applyFill="1" applyBorder="1" applyAlignment="1">
      <alignment horizontal="center" vertical="center" wrapText="1" readingOrder="2"/>
    </xf>
    <xf numFmtId="2" fontId="1" fillId="8" borderId="4" xfId="0" applyNumberFormat="1" applyFont="1" applyFill="1" applyBorder="1" applyAlignment="1">
      <alignment horizontal="center" vertical="center" wrapText="1" readingOrder="2"/>
    </xf>
    <xf numFmtId="2" fontId="1" fillId="8" borderId="2" xfId="0" applyNumberFormat="1" applyFont="1" applyFill="1" applyBorder="1" applyAlignment="1">
      <alignment horizontal="center" vertical="center" wrapText="1" readingOrder="1"/>
    </xf>
    <xf numFmtId="0" fontId="1" fillId="8" borderId="2" xfId="0" applyFont="1" applyFill="1" applyBorder="1" applyAlignment="1">
      <alignment horizontal="center" vertical="center" wrapText="1" readingOrder="1"/>
    </xf>
    <xf numFmtId="2" fontId="4" fillId="8" borderId="7" xfId="0" applyNumberFormat="1" applyFont="1" applyFill="1" applyBorder="1" applyAlignment="1">
      <alignment horizontal="center" vertical="center"/>
    </xf>
    <xf numFmtId="3" fontId="1" fillId="8" borderId="2" xfId="0" applyNumberFormat="1" applyFont="1" applyFill="1" applyBorder="1" applyAlignment="1">
      <alignment horizontal="center" vertical="center" wrapText="1" readingOrder="2"/>
    </xf>
    <xf numFmtId="2" fontId="4" fillId="8" borderId="2" xfId="0" applyNumberFormat="1" applyFont="1" applyFill="1" applyBorder="1" applyAlignment="1">
      <alignment horizontal="center" vertical="center"/>
    </xf>
    <xf numFmtId="9" fontId="1" fillId="8" borderId="2" xfId="0" applyNumberFormat="1" applyFont="1" applyFill="1" applyBorder="1" applyAlignment="1">
      <alignment horizontal="center" vertical="center" wrapText="1" readingOrder="2"/>
    </xf>
    <xf numFmtId="9" fontId="4" fillId="8" borderId="2" xfId="0" applyNumberFormat="1" applyFont="1" applyFill="1" applyBorder="1" applyAlignment="1">
      <alignment horizontal="center" vertical="center"/>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xf>
    <xf numFmtId="0" fontId="4" fillId="8" borderId="8" xfId="0" applyFont="1" applyFill="1" applyBorder="1" applyAlignment="1">
      <alignment horizontal="center" vertical="center"/>
    </xf>
    <xf numFmtId="0" fontId="4" fillId="8" borderId="1" xfId="0" applyFont="1" applyFill="1" applyBorder="1" applyAlignment="1">
      <alignment horizontal="center" vertical="center"/>
    </xf>
    <xf numFmtId="0" fontId="4" fillId="8" borderId="7" xfId="0" applyFont="1" applyFill="1" applyBorder="1" applyAlignment="1">
      <alignment horizontal="center" vertical="center"/>
    </xf>
    <xf numFmtId="0" fontId="4" fillId="8" borderId="9" xfId="0" applyFont="1" applyFill="1" applyBorder="1" applyAlignment="1">
      <alignment horizontal="center" vertical="center"/>
    </xf>
    <xf numFmtId="2" fontId="4" fillId="8" borderId="1" xfId="0" applyNumberFormat="1" applyFont="1" applyFill="1" applyBorder="1" applyAlignment="1">
      <alignment horizontal="center" vertical="center"/>
    </xf>
    <xf numFmtId="2" fontId="4" fillId="8" borderId="7" xfId="0" applyNumberFormat="1" applyFont="1" applyFill="1" applyBorder="1" applyAlignment="1">
      <alignment horizontal="center" vertical="center" wrapText="1"/>
    </xf>
    <xf numFmtId="2" fontId="3" fillId="8" borderId="2" xfId="0" applyNumberFormat="1" applyFont="1" applyFill="1" applyBorder="1" applyAlignment="1">
      <alignment horizontal="center"/>
    </xf>
    <xf numFmtId="0" fontId="3" fillId="8" borderId="2" xfId="0" applyFont="1" applyFill="1" applyBorder="1" applyAlignment="1">
      <alignment horizontal="center"/>
    </xf>
    <xf numFmtId="0" fontId="4" fillId="8" borderId="7" xfId="0" applyFont="1" applyFill="1" applyBorder="1" applyAlignment="1">
      <alignment horizontal="center" vertical="center" wrapText="1"/>
    </xf>
    <xf numFmtId="0" fontId="4" fillId="0" borderId="0" xfId="0" applyFont="1" applyAlignment="1">
      <alignment horizontal="center" vertical="center"/>
    </xf>
    <xf numFmtId="0" fontId="16" fillId="6" borderId="13" xfId="0" applyFont="1" applyFill="1" applyBorder="1" applyAlignment="1">
      <alignment horizontal="center" vertical="center"/>
    </xf>
    <xf numFmtId="2" fontId="16" fillId="6" borderId="13" xfId="0" applyNumberFormat="1" applyFont="1" applyFill="1" applyBorder="1" applyAlignment="1">
      <alignment horizontal="center" vertical="center"/>
    </xf>
    <xf numFmtId="0" fontId="16" fillId="6" borderId="14" xfId="0" applyFont="1" applyFill="1" applyBorder="1" applyAlignment="1">
      <alignment horizontal="center" vertical="center"/>
    </xf>
    <xf numFmtId="10" fontId="1" fillId="9" borderId="2" xfId="0" applyNumberFormat="1" applyFont="1" applyFill="1" applyBorder="1" applyAlignment="1">
      <alignment horizontal="center" vertical="center" wrapText="1" readingOrder="2"/>
    </xf>
    <xf numFmtId="10" fontId="1" fillId="9" borderId="4" xfId="0" applyNumberFormat="1" applyFont="1" applyFill="1" applyBorder="1" applyAlignment="1">
      <alignment horizontal="center" vertical="center" wrapText="1" readingOrder="2"/>
    </xf>
    <xf numFmtId="0" fontId="4" fillId="9" borderId="2" xfId="0" applyFont="1" applyFill="1" applyBorder="1" applyAlignment="1">
      <alignment horizontal="center"/>
    </xf>
    <xf numFmtId="0" fontId="4" fillId="8" borderId="2" xfId="0" applyFont="1" applyFill="1" applyBorder="1" applyAlignment="1">
      <alignment horizontal="center"/>
    </xf>
    <xf numFmtId="0" fontId="4" fillId="0" borderId="0" xfId="0" applyFont="1"/>
    <xf numFmtId="3" fontId="1" fillId="0" borderId="4" xfId="0" applyNumberFormat="1" applyFont="1" applyBorder="1" applyAlignment="1">
      <alignment horizontal="center" vertical="center" wrapText="1" readingOrder="1"/>
    </xf>
    <xf numFmtId="0" fontId="1" fillId="8" borderId="4" xfId="0" applyFont="1" applyFill="1" applyBorder="1" applyAlignment="1">
      <alignment horizontal="center" vertical="center" wrapText="1" readingOrder="2"/>
    </xf>
    <xf numFmtId="9" fontId="1" fillId="8" borderId="4" xfId="0" applyNumberFormat="1" applyFont="1" applyFill="1" applyBorder="1" applyAlignment="1">
      <alignment horizontal="center" vertical="center" wrapText="1" readingOrder="2"/>
    </xf>
    <xf numFmtId="9" fontId="1" fillId="0" borderId="4" xfId="0" applyNumberFormat="1" applyFont="1" applyBorder="1" applyAlignment="1">
      <alignment horizontal="center" vertical="center" wrapText="1" readingOrder="2"/>
    </xf>
    <xf numFmtId="9" fontId="1" fillId="8" borderId="6" xfId="0" applyNumberFormat="1" applyFont="1" applyFill="1" applyBorder="1" applyAlignment="1">
      <alignment horizontal="center" vertical="center" wrapText="1" readingOrder="2"/>
    </xf>
    <xf numFmtId="2" fontId="4" fillId="9" borderId="1" xfId="0" applyNumberFormat="1" applyFont="1" applyFill="1" applyBorder="1" applyAlignment="1">
      <alignment horizontal="center" vertical="center" wrapText="1" readingOrder="2"/>
    </xf>
    <xf numFmtId="2" fontId="4" fillId="9" borderId="1" xfId="0" applyNumberFormat="1" applyFont="1" applyFill="1" applyBorder="1" applyAlignment="1">
      <alignment horizontal="center"/>
    </xf>
    <xf numFmtId="2" fontId="3" fillId="9" borderId="8" xfId="0" applyNumberFormat="1" applyFont="1" applyFill="1" applyBorder="1" applyAlignment="1">
      <alignment horizontal="center"/>
    </xf>
    <xf numFmtId="2" fontId="3" fillId="8" borderId="8" xfId="0" applyNumberFormat="1" applyFont="1" applyFill="1" applyBorder="1" applyAlignment="1">
      <alignment horizontal="center"/>
    </xf>
    <xf numFmtId="2" fontId="1" fillId="9" borderId="1" xfId="0" applyNumberFormat="1" applyFont="1" applyFill="1" applyBorder="1" applyAlignment="1">
      <alignment horizontal="center" vertical="center" wrapText="1" readingOrder="2"/>
    </xf>
    <xf numFmtId="0" fontId="1" fillId="9" borderId="4" xfId="0" applyFont="1" applyFill="1" applyBorder="1" applyAlignment="1">
      <alignment horizontal="center" vertical="center" wrapText="1" readingOrder="2"/>
    </xf>
    <xf numFmtId="0" fontId="1" fillId="9" borderId="1" xfId="0" applyFont="1" applyFill="1" applyBorder="1" applyAlignment="1">
      <alignment horizontal="center" vertical="center" wrapText="1" readingOrder="2"/>
    </xf>
    <xf numFmtId="9" fontId="1" fillId="9" borderId="1" xfId="0" applyNumberFormat="1" applyFont="1" applyFill="1" applyBorder="1" applyAlignment="1">
      <alignment horizontal="center" vertical="center" wrapText="1" readingOrder="2"/>
    </xf>
    <xf numFmtId="3" fontId="1" fillId="9" borderId="1" xfId="0" applyNumberFormat="1" applyFont="1" applyFill="1" applyBorder="1" applyAlignment="1">
      <alignment horizontal="center" vertical="center" wrapText="1" readingOrder="2"/>
    </xf>
    <xf numFmtId="2" fontId="4" fillId="8" borderId="4" xfId="0" applyNumberFormat="1" applyFont="1" applyFill="1" applyBorder="1" applyAlignment="1">
      <alignment horizontal="center" vertical="center"/>
    </xf>
    <xf numFmtId="2" fontId="4" fillId="8" borderId="8" xfId="0" applyNumberFormat="1" applyFont="1" applyFill="1" applyBorder="1" applyAlignment="1">
      <alignment horizontal="center" vertical="center"/>
    </xf>
    <xf numFmtId="2" fontId="1" fillId="9" borderId="8" xfId="0" applyNumberFormat="1" applyFont="1" applyFill="1" applyBorder="1" applyAlignment="1">
      <alignment horizontal="center" vertical="center" wrapText="1" readingOrder="2"/>
    </xf>
    <xf numFmtId="2" fontId="1" fillId="8" borderId="8" xfId="0" applyNumberFormat="1" applyFont="1" applyFill="1" applyBorder="1" applyAlignment="1">
      <alignment horizontal="center" vertical="center" wrapText="1" readingOrder="2"/>
    </xf>
    <xf numFmtId="2" fontId="1" fillId="9" borderId="5" xfId="0" applyNumberFormat="1" applyFont="1" applyFill="1" applyBorder="1" applyAlignment="1">
      <alignment horizontal="center" vertical="center" wrapText="1" readingOrder="2"/>
    </xf>
    <xf numFmtId="0" fontId="20" fillId="9" borderId="1" xfId="0" applyFont="1" applyFill="1" applyBorder="1" applyAlignment="1">
      <alignment horizontal="center" vertical="center" wrapText="1"/>
    </xf>
    <xf numFmtId="0" fontId="20" fillId="9" borderId="1" xfId="0" applyFont="1" applyFill="1" applyBorder="1" applyAlignment="1">
      <alignment horizontal="center"/>
    </xf>
    <xf numFmtId="0" fontId="2" fillId="0" borderId="24" xfId="0" applyFont="1" applyBorder="1" applyAlignment="1">
      <alignment horizontal="center" vertical="center" wrapText="1"/>
    </xf>
    <xf numFmtId="0" fontId="2" fillId="9" borderId="1" xfId="0" applyFont="1" applyFill="1" applyBorder="1" applyAlignment="1">
      <alignment horizontal="center" vertical="center" wrapText="1"/>
    </xf>
    <xf numFmtId="9" fontId="2" fillId="9" borderId="1" xfId="0" applyNumberFormat="1" applyFont="1" applyFill="1" applyBorder="1" applyAlignment="1">
      <alignment horizontal="center" vertical="center" wrapText="1"/>
    </xf>
    <xf numFmtId="9" fontId="2" fillId="9" borderId="1" xfId="0" applyNumberFormat="1" applyFont="1" applyFill="1" applyBorder="1" applyAlignment="1">
      <alignment horizontal="center" vertical="center"/>
    </xf>
    <xf numFmtId="0" fontId="2" fillId="9" borderId="25" xfId="0" applyFont="1" applyFill="1" applyBorder="1" applyAlignment="1">
      <alignment horizontal="center" vertical="center" wrapText="1"/>
    </xf>
    <xf numFmtId="9" fontId="21" fillId="9" borderId="1" xfId="0" applyNumberFormat="1" applyFont="1" applyFill="1" applyBorder="1" applyAlignment="1">
      <alignment horizontal="center" vertical="center" wrapText="1"/>
    </xf>
    <xf numFmtId="0" fontId="16" fillId="0" borderId="0" xfId="0" applyFont="1" applyAlignment="1">
      <alignment horizontal="center" vertical="center"/>
    </xf>
    <xf numFmtId="0" fontId="16" fillId="0" borderId="0" xfId="0" applyFont="1"/>
    <xf numFmtId="0" fontId="1" fillId="8" borderId="2" xfId="0" applyFont="1" applyFill="1" applyBorder="1" applyAlignment="1">
      <alignment horizontal="center" vertical="center"/>
    </xf>
    <xf numFmtId="164" fontId="1" fillId="8" borderId="2" xfId="0" applyNumberFormat="1" applyFont="1" applyFill="1" applyBorder="1" applyAlignment="1">
      <alignment horizontal="center" vertical="center" wrapText="1" readingOrder="2"/>
    </xf>
    <xf numFmtId="164" fontId="1" fillId="8" borderId="3" xfId="0" applyNumberFormat="1" applyFont="1" applyFill="1" applyBorder="1" applyAlignment="1">
      <alignment horizontal="center" vertical="center" wrapText="1" readingOrder="2"/>
    </xf>
    <xf numFmtId="3" fontId="17" fillId="8" borderId="2" xfId="3" applyNumberFormat="1" applyFill="1" applyBorder="1" applyAlignment="1">
      <alignment horizontal="center" vertical="center" wrapText="1" readingOrder="2"/>
    </xf>
    <xf numFmtId="10" fontId="0" fillId="0" borderId="0" xfId="0" applyNumberFormat="1" applyAlignment="1">
      <alignment horizontal="center" vertical="center"/>
    </xf>
    <xf numFmtId="0" fontId="22" fillId="10" borderId="26" xfId="0" applyFont="1" applyFill="1" applyBorder="1" applyAlignment="1">
      <alignment horizontal="center" vertical="center"/>
    </xf>
    <xf numFmtId="0" fontId="0" fillId="11" borderId="26" xfId="0" applyFill="1" applyBorder="1" applyAlignment="1">
      <alignment horizontal="center" vertical="center"/>
    </xf>
    <xf numFmtId="10" fontId="0" fillId="11" borderId="26" xfId="0" applyNumberFormat="1" applyFill="1" applyBorder="1" applyAlignment="1">
      <alignment horizontal="center" vertical="center"/>
    </xf>
    <xf numFmtId="0" fontId="0" fillId="11" borderId="0" xfId="0" applyFill="1" applyAlignment="1">
      <alignment horizontal="center" vertical="center"/>
    </xf>
    <xf numFmtId="10" fontId="0" fillId="11" borderId="0" xfId="0" applyNumberFormat="1" applyFill="1" applyAlignment="1">
      <alignment horizontal="center" vertical="center"/>
    </xf>
    <xf numFmtId="0" fontId="0" fillId="11" borderId="27" xfId="0" applyFill="1" applyBorder="1" applyAlignment="1">
      <alignment horizontal="center" vertical="center"/>
    </xf>
    <xf numFmtId="10" fontId="0" fillId="11" borderId="27" xfId="0" applyNumberFormat="1" applyFill="1" applyBorder="1" applyAlignment="1">
      <alignment horizontal="center" vertical="center"/>
    </xf>
    <xf numFmtId="0" fontId="3" fillId="8" borderId="2" xfId="0" applyFont="1" applyFill="1" applyBorder="1" applyAlignment="1">
      <alignment horizontal="center" wrapText="1"/>
    </xf>
    <xf numFmtId="0" fontId="18" fillId="7" borderId="22" xfId="0" applyFont="1" applyFill="1" applyBorder="1" applyAlignment="1">
      <alignment horizontal="center" vertical="center"/>
    </xf>
    <xf numFmtId="0" fontId="11" fillId="7" borderId="22" xfId="0" applyFont="1" applyFill="1" applyBorder="1" applyAlignment="1">
      <alignment horizontal="center" vertical="center"/>
    </xf>
    <xf numFmtId="0" fontId="8" fillId="0" borderId="22" xfId="0" applyFont="1" applyBorder="1" applyAlignment="1">
      <alignment horizontal="center" vertical="center"/>
    </xf>
    <xf numFmtId="0" fontId="15" fillId="6" borderId="23" xfId="0" applyFont="1" applyFill="1" applyBorder="1" applyAlignment="1">
      <alignment horizontal="center" vertical="center"/>
    </xf>
    <xf numFmtId="0" fontId="12" fillId="7" borderId="18" xfId="0" applyFont="1" applyFill="1" applyBorder="1" applyAlignment="1"/>
    <xf numFmtId="0" fontId="12" fillId="7" borderId="20" xfId="0" applyFont="1" applyFill="1" applyBorder="1" applyAlignment="1"/>
    <xf numFmtId="0" fontId="0" fillId="0" borderId="18" xfId="0" applyBorder="1" applyAlignment="1"/>
    <xf numFmtId="0" fontId="0" fillId="0" borderId="20" xfId="0" applyBorder="1" applyAlignment="1"/>
    <xf numFmtId="0" fontId="16" fillId="6" borderId="0" xfId="0" applyFont="1" applyFill="1" applyAlignment="1"/>
    <xf numFmtId="0" fontId="19" fillId="7" borderId="18" xfId="0" applyFont="1" applyFill="1" applyBorder="1" applyAlignment="1"/>
  </cellXfs>
  <cellStyles count="4">
    <cellStyle name="Hyperlink" xfId="3" xr:uid="{00000000-000B-0000-0000-000008000000}"/>
    <cellStyle name="Percent" xfId="2" builtinId="5"/>
    <cellStyle name="عادي" xfId="0" builtinId="0"/>
    <cellStyle name="عادي 3" xfId="1" xr:uid="{00000000-0005-0000-0000-000001000000}"/>
  </cellStyles>
  <dxfs count="176">
    <dxf>
      <font>
        <strike val="0"/>
        <condense val="0"/>
        <extend val="0"/>
        <outline val="0"/>
        <shadow val="0"/>
        <vertAlign val="baseline"/>
        <sz val="8"/>
        <color theme="1"/>
        <name val="Calibri"/>
        <family val="2"/>
        <scheme val="minor"/>
      </font>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numFmt numFmtId="2" formatCode="0.00"/>
      <fill>
        <patternFill patternType="solid">
          <fgColor indexed="64"/>
          <bgColor theme="0"/>
        </patternFill>
      </fill>
      <alignment horizontal="center" vertical="bottom"/>
      <border>
        <left/>
        <right style="thin">
          <color indexed="64"/>
        </right>
        <top style="thin">
          <color indexed="64"/>
        </top>
        <bottom style="thin">
          <color indexed="64"/>
        </bottom>
      </border>
      <protection locked="1" hidden="0"/>
    </dxf>
    <dxf>
      <font>
        <strike val="0"/>
        <condense val="0"/>
        <extend val="0"/>
        <outline val="0"/>
        <shadow val="0"/>
        <vertAlign val="baseline"/>
        <sz val="8"/>
        <color theme="1"/>
        <name val="Sakkal Majalla"/>
      </font>
      <numFmt numFmtId="2" formatCode="0.00"/>
      <fill>
        <patternFill patternType="solid">
          <fgColor indexed="64"/>
          <bgColor theme="0"/>
        </patternFill>
      </fill>
      <alignment horizontal="center" vertical="center" wrapText="1"/>
      <border>
        <left style="thin">
          <color rgb="FF000000"/>
        </left>
        <right/>
        <top style="thin">
          <color rgb="FF000000"/>
        </top>
        <bottom style="thin">
          <color rgb="FF000000"/>
        </bottom>
      </border>
      <protection locked="1" hidden="0"/>
    </dxf>
    <dxf>
      <font>
        <strike val="0"/>
        <condense val="0"/>
        <extend val="0"/>
        <outline val="0"/>
        <shadow val="0"/>
        <vertAlign val="baseline"/>
        <sz val="8"/>
        <color theme="1"/>
        <name val="Sakkal Majalla"/>
      </font>
      <numFmt numFmtId="2" formatCode="0.00"/>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1" hidden="0"/>
    </dxf>
    <dxf>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border>
        <left/>
        <right style="thin">
          <color rgb="FF000000"/>
        </right>
        <top style="thin">
          <color rgb="FF000000"/>
        </top>
        <bottom style="thin">
          <color rgb="FF000000"/>
        </bottom>
        <vertical/>
        <horizontal/>
      </border>
      <protection locked="1" hidden="0"/>
    </dxf>
    <dxf>
      <fill>
        <patternFill patternType="solid">
          <fgColor indexed="64"/>
          <bgColor theme="0"/>
        </patternFill>
      </fill>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wrapText="1"/>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fill>
        <patternFill patternType="solid">
          <fgColor indexed="64"/>
          <bgColor theme="0"/>
        </patternFill>
      </fill>
      <alignment horizontal="center" vertical="center"/>
      <border>
        <left style="thin">
          <color rgb="FF000000"/>
        </left>
        <right/>
        <top style="thin">
          <color rgb="FF000000"/>
        </top>
        <bottom style="thin">
          <color rgb="FF000000"/>
        </bottom>
        <vertical/>
        <horizontal/>
      </border>
      <protection locked="1" hidden="0"/>
    </dxf>
    <dxf>
      <border outline="0">
        <right style="thin">
          <color rgb="FF000000"/>
        </right>
      </border>
    </dxf>
    <dxf>
      <font>
        <strike val="0"/>
        <condense val="0"/>
        <extend val="0"/>
        <outline val="0"/>
        <shadow val="0"/>
        <vertAlign val="baseline"/>
        <sz val="8"/>
        <color rgb="FF000000"/>
        <name val="Calibri"/>
        <family val="2"/>
      </font>
      <fill>
        <patternFill patternType="solid">
          <fgColor indexed="64"/>
          <bgColor theme="0"/>
        </patternFill>
      </fill>
      <alignment horizontal="center" vertical="bottom"/>
      <protection locked="1" hidden="0"/>
    </dxf>
    <dxf>
      <font>
        <b val="0"/>
        <strike val="0"/>
        <condense val="0"/>
        <extend val="0"/>
        <outline val="0"/>
        <shadow val="0"/>
        <vertAlign val="baseline"/>
        <sz val="14"/>
        <color theme="1"/>
        <name val="Sakkal Majalla"/>
      </font>
      <fill>
        <patternFill patternType="solid">
          <fgColor indexed="64"/>
          <bgColor rgb="FF951740"/>
        </patternFill>
      </fill>
      <alignment horizontal="center" vertical="center"/>
      <protection locked="1" hidden="0"/>
    </dxf>
    <dxf>
      <font>
        <color theme="0"/>
      </font>
      <fill>
        <patternFill patternType="solid">
          <bgColor theme="6" tint="0.59999389629810485"/>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ont>
        <color theme="0"/>
      </font>
      <fill>
        <patternFill patternType="solid">
          <bgColor theme="9" tint="-0.249977111117893"/>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ont>
        <strike val="0"/>
        <condense val="0"/>
        <extend val="0"/>
        <outline val="0"/>
        <shadow val="0"/>
        <vertAlign val="baseline"/>
        <sz val="8"/>
        <color theme="1"/>
        <name val="Calibri"/>
        <family val="2"/>
        <scheme val="minor"/>
      </font>
      <numFmt numFmtId="0" formatCode="Genera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1"/>
        <color theme="1"/>
        <name val="Calibri"/>
        <family val="2"/>
        <scheme val="minor"/>
      </font>
      <border>
        <left style="thin">
          <color indexed="64"/>
        </left>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numFmt numFmtId="2" formatCode="0.00"/>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rgb="FF000000"/>
        <name val="Sakkal Majalla"/>
      </font>
      <alignment horizontal="center" vertical="center" wrapText="1" readingOrder="2"/>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numFmt numFmtId="2" formatCode="0.00"/>
      <alignment horizontal="center" vertical="bottom"/>
      <border outline="0">
        <left/>
        <right style="thin">
          <color indexed="64"/>
        </right>
        <top style="thin">
          <color indexed="64"/>
        </top>
        <bottom style="thin">
          <color indexed="64"/>
        </bottom>
      </border>
      <protection locked="1" hidden="0"/>
    </dxf>
    <dxf>
      <font>
        <strike val="0"/>
        <condense val="0"/>
        <extend val="0"/>
        <outline val="0"/>
        <shadow val="0"/>
        <vertAlign val="baseline"/>
        <sz val="8"/>
        <color theme="1"/>
        <name val="Sakkal Majalla"/>
      </font>
      <numFmt numFmtId="2" formatCode="0.00"/>
      <alignment horizontal="center" vertical="center" wrapText="1"/>
      <border outline="0">
        <left style="thin">
          <color rgb="FF000000"/>
        </left>
        <right/>
        <top style="thin">
          <color rgb="FF000000"/>
        </top>
        <bottom style="thin">
          <color rgb="FF000000"/>
        </bottom>
      </border>
      <protection locked="1" hidden="0"/>
    </dxf>
    <dxf>
      <font>
        <strike val="0"/>
        <condense val="0"/>
        <extend val="0"/>
        <outline val="0"/>
        <shadow val="0"/>
        <vertAlign val="baseline"/>
        <sz val="8"/>
        <color theme="1"/>
        <name val="Sakkal Majalla"/>
      </font>
      <numFmt numFmtId="2" formatCode="0.00"/>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indexed="64"/>
        </left>
        <right style="thin">
          <color indexed="64"/>
        </right>
        <top style="thin">
          <color indexed="64"/>
        </top>
        <bottom style="thin">
          <color indexed="64"/>
        </bottom>
        <vertical/>
        <horizontal/>
      </border>
      <protection locked="1" hidden="0"/>
    </dxf>
    <dxf>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right style="thin">
          <color rgb="FF000000"/>
        </right>
        <top style="thin">
          <color rgb="FF000000"/>
        </top>
        <bottom style="thin">
          <color rgb="FF000000"/>
        </bottom>
        <vertical/>
        <horizontal/>
      </border>
      <protection locked="1" hidden="0"/>
    </dxf>
    <dxf>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Sakkal Majalla"/>
      </font>
      <alignment horizontal="center" vertical="center" wrapText="1"/>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top style="thin">
          <color rgb="FF000000"/>
        </top>
        <bottom style="thin">
          <color rgb="FF000000"/>
        </bottom>
        <vertical/>
        <horizontal/>
      </border>
      <protection locked="1" hidden="0"/>
    </dxf>
    <dxf>
      <border outline="0">
        <right style="thin">
          <color rgb="FF000000"/>
        </right>
      </border>
    </dxf>
    <dxf>
      <font>
        <strike val="0"/>
        <condense val="0"/>
        <extend val="0"/>
        <outline val="0"/>
        <shadow val="0"/>
        <vertAlign val="baseline"/>
        <sz val="8"/>
        <color rgb="FF000000"/>
        <name val="Calibri"/>
        <family val="2"/>
      </font>
      <alignment horizontal="center" vertical="bottom"/>
      <protection locked="1" hidden="0"/>
    </dxf>
    <dxf>
      <font>
        <strike val="0"/>
        <condense val="0"/>
        <extend val="0"/>
        <outline val="0"/>
        <shadow val="0"/>
        <vertAlign val="baseline"/>
        <sz val="10"/>
        <color theme="1"/>
        <name val="Sakkal Majalla"/>
      </font>
      <fill>
        <patternFill patternType="solid">
          <fgColor indexed="64"/>
          <bgColor theme="4" tint="0.39997558519241921"/>
        </patternFill>
      </fill>
      <alignment horizontal="center" vertical="center"/>
      <protection locked="1" hidden="0"/>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ont>
        <strike val="0"/>
        <condense val="0"/>
        <extend val="0"/>
        <outline val="0"/>
        <shadow val="0"/>
        <vertAlign val="baseline"/>
        <sz val="8"/>
        <color theme="1"/>
        <name val="Calibri"/>
        <family val="2"/>
        <scheme val="minor"/>
      </font>
      <numFmt numFmtId="0" formatCode="Genera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1"/>
        <color theme="1"/>
        <name val="Calibri"/>
        <family val="2"/>
        <scheme val="minor"/>
      </font>
      <border>
        <left style="thin">
          <color indexed="64"/>
        </left>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numFmt numFmtId="2" formatCode="0.00"/>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rgb="FF000000"/>
        <name val="Sakkal Majalla"/>
      </font>
      <alignment horizontal="center" vertical="center" wrapText="1" readingOrder="2"/>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Calibri"/>
        <family val="2"/>
        <scheme val="minor"/>
      </font>
      <numFmt numFmtId="2" formatCode="0.00"/>
      <alignment horizontal="center" vertical="bottom"/>
      <border outline="0">
        <left/>
        <right style="thin">
          <color indexed="64"/>
        </right>
        <top style="thin">
          <color indexed="64"/>
        </top>
        <bottom style="thin">
          <color indexed="64"/>
        </bottom>
      </border>
      <protection locked="1" hidden="0"/>
    </dxf>
    <dxf>
      <font>
        <strike val="0"/>
        <condense val="0"/>
        <extend val="0"/>
        <outline val="0"/>
        <shadow val="0"/>
        <vertAlign val="baseline"/>
        <sz val="8"/>
        <color theme="1"/>
        <name val="Sakkal Majalla"/>
      </font>
      <numFmt numFmtId="2" formatCode="0.00"/>
      <alignment horizontal="center" vertical="center" wrapText="1"/>
      <border outline="0">
        <left style="thin">
          <color rgb="FF000000"/>
        </left>
        <right/>
        <top style="thin">
          <color rgb="FF000000"/>
        </top>
        <bottom style="thin">
          <color rgb="FF000000"/>
        </bottom>
      </border>
      <protection locked="1" hidden="0"/>
    </dxf>
    <dxf>
      <font>
        <strike val="0"/>
        <condense val="0"/>
        <extend val="0"/>
        <outline val="0"/>
        <shadow val="0"/>
        <vertAlign val="baseline"/>
        <sz val="8"/>
        <color theme="1"/>
        <name val="Sakkal Majalla"/>
      </font>
      <numFmt numFmtId="2" formatCode="0.00"/>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indexed="64"/>
        </left>
        <right style="thin">
          <color indexed="64"/>
        </right>
        <top style="thin">
          <color indexed="64"/>
        </top>
        <bottom style="thin">
          <color indexed="64"/>
        </bottom>
        <vertical/>
        <horizontal/>
      </border>
      <protection locked="1" hidden="0"/>
    </dxf>
    <dxf>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right style="thin">
          <color rgb="FF000000"/>
        </right>
        <top style="thin">
          <color rgb="FF000000"/>
        </top>
        <bottom style="thin">
          <color rgb="FF000000"/>
        </bottom>
        <vertical/>
        <horizontal/>
      </border>
      <protection locked="1" hidden="0"/>
    </dxf>
    <dxf>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8"/>
        <color theme="1"/>
        <name val="Sakkal Majalla"/>
      </font>
      <alignment horizontal="center" vertical="center" wrapText="1"/>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8"/>
        <color theme="1"/>
        <name val="Sakkal Majalla"/>
      </font>
      <alignment horizontal="center" vertical="center"/>
      <border>
        <left style="thin">
          <color rgb="FF000000"/>
        </left>
        <right/>
        <top style="thin">
          <color rgb="FF000000"/>
        </top>
        <bottom style="thin">
          <color rgb="FF000000"/>
        </bottom>
        <vertical/>
        <horizontal/>
      </border>
      <protection locked="1" hidden="0"/>
    </dxf>
    <dxf>
      <border outline="0">
        <right style="thin">
          <color rgb="FF000000"/>
        </right>
      </border>
    </dxf>
    <dxf>
      <font>
        <strike val="0"/>
        <condense val="0"/>
        <extend val="0"/>
        <outline val="0"/>
        <shadow val="0"/>
        <vertAlign val="baseline"/>
        <sz val="8"/>
        <color rgb="FF000000"/>
        <name val="Calibri"/>
        <family val="2"/>
      </font>
      <alignment horizontal="center" vertical="bottom"/>
      <protection locked="1" hidden="0"/>
    </dxf>
    <dxf>
      <font>
        <strike val="0"/>
        <condense val="0"/>
        <extend val="0"/>
        <outline val="0"/>
        <shadow val="0"/>
        <vertAlign val="baseline"/>
        <sz val="10"/>
        <color theme="1"/>
        <name val="Sakkal Majalla"/>
      </font>
      <fill>
        <patternFill patternType="solid">
          <fgColor indexed="64"/>
          <bgColor theme="4" tint="0.39997558519241921"/>
        </patternFill>
      </fill>
      <alignment horizontal="center" vertical="center"/>
      <protection locked="1" hidden="0"/>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ont>
        <strike val="0"/>
        <condense val="0"/>
        <extend val="0"/>
        <outline val="0"/>
        <shadow val="0"/>
        <vertAlign val="baseline"/>
        <sz val="10"/>
        <color theme="1"/>
        <name val="Calibri"/>
        <family val="2"/>
        <scheme val="minor"/>
      </font>
      <numFmt numFmtId="0" formatCode="General"/>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border>
        <left style="thin">
          <color indexed="64"/>
        </left>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numFmt numFmtId="2" formatCode="0.00"/>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rgb="FF000000"/>
        <name val="Sakkal Majalla"/>
      </font>
      <alignment horizontal="center" vertical="center" wrapText="1" readingOrder="2"/>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Calibri"/>
        <family val="2"/>
        <scheme val="minor"/>
      </font>
      <numFmt numFmtId="2" formatCode="0.00"/>
      <alignment horizontal="center" vertical="bottom"/>
      <border>
        <left/>
        <right style="thin">
          <color indexed="64"/>
        </right>
        <top style="thin">
          <color indexed="64"/>
        </top>
        <bottom style="thin">
          <color indexed="64"/>
        </bottom>
      </border>
      <protection locked="1" hidden="0"/>
    </dxf>
    <dxf>
      <font>
        <strike val="0"/>
        <condense val="0"/>
        <extend val="0"/>
        <outline val="0"/>
        <shadow val="0"/>
        <vertAlign val="baseline"/>
        <sz val="10"/>
        <color theme="1"/>
        <name val="Sakkal Majalla"/>
      </font>
      <numFmt numFmtId="2" formatCode="0.00"/>
      <alignment horizontal="center" vertical="center" wrapText="1"/>
      <border>
        <left style="thin">
          <color rgb="FF000000"/>
        </left>
        <right/>
        <top style="thin">
          <color rgb="FF000000"/>
        </top>
        <bottom style="thin">
          <color rgb="FF000000"/>
        </bottom>
      </border>
      <protection locked="1" hidden="0"/>
    </dxf>
    <dxf>
      <font>
        <strike val="0"/>
        <condense val="0"/>
        <extend val="0"/>
        <outline val="0"/>
        <shadow val="0"/>
        <vertAlign val="baseline"/>
        <sz val="10"/>
        <color theme="1"/>
        <name val="Sakkal Majalla"/>
      </font>
      <numFmt numFmtId="2" formatCode="0.00"/>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10"/>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10"/>
        <color theme="1"/>
        <name val="Sakkal Majalla"/>
      </font>
      <alignment horizontal="center" vertical="center"/>
      <border>
        <left style="thin">
          <color indexed="64"/>
        </left>
        <right style="thin">
          <color indexed="64"/>
        </right>
        <top style="thin">
          <color indexed="64"/>
        </top>
        <bottom style="thin">
          <color indexed="64"/>
        </bottom>
        <vertical/>
        <horizontal/>
      </border>
      <protection locked="1" hidden="0"/>
    </dxf>
    <dxf>
      <font>
        <sz val="10"/>
      </font>
      <alignment horizontal="center" vertical="bottom"/>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Sakkal Majalla"/>
      </font>
      <alignment horizontal="center" vertical="center"/>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10"/>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10"/>
        <color theme="1"/>
        <name val="Sakkal Majalla"/>
      </font>
      <alignment horizontal="center" vertical="center"/>
      <border>
        <left/>
        <right style="thin">
          <color rgb="FF000000"/>
        </right>
        <top style="thin">
          <color rgb="FF000000"/>
        </top>
        <bottom style="thin">
          <color rgb="FF000000"/>
        </bottom>
        <vertical/>
        <horizontal/>
      </border>
      <protection locked="1" hidden="0"/>
    </dxf>
    <dxf>
      <font>
        <sz val="10"/>
      </font>
      <border>
        <left style="thin">
          <color indexed="64"/>
        </left>
        <right style="thin">
          <color indexed="64"/>
        </right>
        <top style="thin">
          <color indexed="64"/>
        </top>
        <bottom style="thin">
          <color indexed="64"/>
        </bottom>
        <vertical/>
        <horizontal/>
      </border>
      <protection locked="1" hidden="0"/>
    </dxf>
    <dxf>
      <font>
        <strike val="0"/>
        <condense val="0"/>
        <extend val="0"/>
        <outline val="0"/>
        <shadow val="0"/>
        <vertAlign val="baseline"/>
        <sz val="10"/>
        <color theme="1"/>
        <name val="Sakkal Majalla"/>
      </font>
      <alignment horizontal="center" vertical="center" wrapText="1"/>
      <border>
        <left style="thin">
          <color rgb="FF000000"/>
        </left>
        <right/>
        <top style="thin">
          <color rgb="FF000000"/>
        </top>
        <bottom style="thin">
          <color rgb="FF000000"/>
        </bottom>
        <vertical/>
        <horizontal/>
      </border>
      <protection locked="1" hidden="0"/>
    </dxf>
    <dxf>
      <font>
        <strike val="0"/>
        <condense val="0"/>
        <extend val="0"/>
        <outline val="0"/>
        <shadow val="0"/>
        <vertAlign val="baseline"/>
        <sz val="10"/>
        <color theme="1"/>
        <name val="Sakkal Majalla"/>
      </font>
      <alignment horizontal="center" vertical="center"/>
      <border>
        <left style="thin">
          <color rgb="FF000000"/>
        </left>
        <right style="thin">
          <color rgb="FF000000"/>
        </right>
        <top style="thin">
          <color rgb="FF000000"/>
        </top>
        <bottom style="thin">
          <color rgb="FF000000"/>
        </bottom>
        <vertical/>
        <horizontal/>
      </border>
      <protection locked="1" hidden="0"/>
    </dxf>
    <dxf>
      <font>
        <strike val="0"/>
        <condense val="0"/>
        <extend val="0"/>
        <outline val="0"/>
        <shadow val="0"/>
        <vertAlign val="baseline"/>
        <sz val="10"/>
        <color theme="1"/>
        <name val="Sakkal Majalla"/>
      </font>
      <alignment horizontal="center" vertical="center"/>
      <border>
        <left style="thin">
          <color rgb="FF000000"/>
        </left>
        <right/>
        <top style="thin">
          <color rgb="FF000000"/>
        </top>
        <bottom style="thin">
          <color rgb="FF000000"/>
        </bottom>
        <vertical/>
        <horizontal/>
      </border>
      <protection locked="1" hidden="0"/>
    </dxf>
    <dxf>
      <border outline="0">
        <right style="thin">
          <color indexed="64"/>
        </right>
      </border>
    </dxf>
    <dxf>
      <font>
        <strike val="0"/>
        <condense val="0"/>
        <extend val="0"/>
        <outline val="0"/>
        <shadow val="0"/>
        <vertAlign val="baseline"/>
        <sz val="10"/>
        <color theme="1"/>
        <name val="Calibri"/>
        <family val="2"/>
        <scheme val="minor"/>
      </font>
      <alignment horizontal="center" vertical="bottom"/>
      <protection locked="1" hidden="0"/>
    </dxf>
    <dxf>
      <font>
        <b val="0"/>
        <strike val="0"/>
        <condense val="0"/>
        <extend val="0"/>
        <outline val="0"/>
        <shadow val="0"/>
        <vertAlign val="baseline"/>
        <sz val="16"/>
        <color theme="1"/>
        <name val="Sakkal Majalla"/>
      </font>
      <fill>
        <patternFill patternType="solid">
          <fgColor indexed="64"/>
          <bgColor rgb="FF951740"/>
        </patternFill>
      </fill>
      <alignment horizontal="center" vertical="center"/>
      <protection locked="1" hidden="0"/>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s>
  <tableStyles count="0" defaultTableStyle="TableStyleMedium2" defaultPivotStyle="PivotStyleMedium9"/>
  <colors>
    <mruColors>
      <color rgb="FF951740"/>
      <color rgb="FFE9B221"/>
      <color rgb="FF948A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عرض 1" id="{15D364A2-29F7-4F99-8628-94E9A1835737}">
    <nsvFilter filterId="{00000000-0009-0000-0100-000001000000}" ref="A2:W78" tableId="1"/>
  </namedSheetView>
  <namedSheetView name="عرض1" id="{D7D723F9-6FD0-4489-A8D7-500BE0181029}">
    <nsvFilter filterId="{00000000-0009-0000-0100-000001000000}" ref="A2:W78" tableId="1"/>
  </namedSheetView>
  <namedSheetView name="عرض2" id="{292D0937-4D8A-4786-8C37-9D1009C972CE}">
    <nsvFilter filterId="{00000000-0009-0000-0100-000001000000}" ref="A2:W78" tableId="1"/>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الجدول4" displayName="الجدول4" ref="A2:W78" totalsRowShown="0" headerRowDxfId="169" dataDxfId="168" tableBorderDxfId="167">
  <autoFilter ref="A2:W78" xr:uid="{00000000-0009-0000-0100-000001000000}">
    <filterColumn colId="3">
      <filters>
        <filter val="استراتيجي"/>
      </filters>
    </filterColumn>
  </autoFilter>
  <tableColumns count="23">
    <tableColumn id="1" xr3:uid="{00000000-0010-0000-0000-000001000000}" name="رمزالهدف" dataDxfId="166"/>
    <tableColumn id="2" xr3:uid="{00000000-0010-0000-0000-000002000000}" name="رمزالمؤشر" dataDxfId="165"/>
    <tableColumn id="3" xr3:uid="{00000000-0010-0000-0000-000003000000}" name="المؤشر" dataDxfId="164"/>
    <tableColumn id="4" xr3:uid="{00000000-0010-0000-0000-000004000000}" name="نوع المؤشر" dataDxfId="163"/>
    <tableColumn id="5" xr3:uid="{00000000-0010-0000-0000-000005000000}" name="وحدة القياس" dataDxfId="162"/>
    <tableColumn id="6" xr3:uid="{00000000-0010-0000-0000-000006000000}" name="الإتجاه" dataDxfId="161"/>
    <tableColumn id="7" xr3:uid="{00000000-0010-0000-0000-000007000000}" name="دورية القياس" dataDxfId="160"/>
    <tableColumn id="8" xr3:uid="{00000000-0010-0000-0000-000008000000}" name="البيانات المطلوبة للقياس" dataDxfId="159"/>
    <tableColumn id="9" xr3:uid="{00000000-0010-0000-0000-000009000000}" name="الإدارة المالكة" dataDxfId="158"/>
    <tableColumn id="10" xr3:uid="{00000000-0010-0000-0000-00000A000000}" name="خط الأساس" dataDxfId="157"/>
    <tableColumn id="11" xr3:uid="{00000000-0010-0000-0000-00000B000000}" name="مستهدف عام 2026" dataDxfId="156"/>
    <tableColumn id="12" xr3:uid="{00000000-0010-0000-0000-00000C000000}" name="المستهدف للربع الأول" dataDxfId="155"/>
    <tableColumn id="13" xr3:uid="{00000000-0010-0000-0000-00000D000000}" name="المتحقق الفعلي للربع الأول" dataDxfId="154"/>
    <tableColumn id="14" xr3:uid="{00000000-0010-0000-0000-00000E000000}" name="نسبة الإنجاز " dataDxfId="153" dataCellStyle="Percent">
      <calculatedColumnFormula>10/K3</calculatedColumnFormula>
    </tableColumn>
    <tableColumn id="15" xr3:uid="{00000000-0010-0000-0000-00000F000000}" name="قيمة الانحراف " dataDxfId="152" dataCellStyle="Percent"/>
    <tableColumn id="16" xr3:uid="{00000000-0010-0000-0000-000010000000}" name="نسبة الانحراف " dataDxfId="151" dataCellStyle="Percent"/>
    <tableColumn id="17" xr3:uid="{00000000-0010-0000-0000-000011000000}" name="ماذا حصل؟" dataDxfId="150"/>
    <tableColumn id="18" xr3:uid="{00000000-0010-0000-0000-000012000000}" name="كيف حصل؟" dataDxfId="149"/>
    <tableColumn id="19" xr3:uid="{00000000-0010-0000-0000-000013000000}" name="إرفاق  شواهد  الربع الأول" dataDxfId="148"/>
    <tableColumn id="20" xr3:uid="{00000000-0010-0000-0000-000014000000}" name="حالة الإعتماد" dataDxfId="147"/>
    <tableColumn id="21" xr3:uid="{00000000-0010-0000-0000-000015000000}" name="توصيات  قسم الاستراتيجية" dataDxfId="146"/>
    <tableColumn id="22" xr3:uid="{00000000-0010-0000-0000-000016000000}" name="الأداء السنوي" dataDxfId="145" dataCellStyle="Percent"/>
    <tableColumn id="23" xr3:uid="{00000000-0010-0000-0000-000017000000}" name="نسبة التقدم نحو المستهدف السنوي" dataDxfId="144">
      <calculatedColumnFormula>الجدول4[[#This Row],[رمزالهدف]]&amp;الجدول4[[#This Row],[رمزالمؤشر]]&amp;الجدول4[[#This Row],[المؤشر]]&amp;الجدول4[[#This Row],[نوع المؤشر]]&amp;الجدول4[[#This Row],[وحدة القياس]]&amp;الجدول4[[#This Row],[الإتجاه]]&amp;الجدول4[[#This Row],[دورية القياس]]&amp;الجدول4[[#This Row],[البيانات المطلوبة للقياس]]&amp;الجدول4[[#This Row],[الإدارة المالكة]]&amp;الجدول4[[#This Row],[خط الأساس]]&amp;الجدول4[[#This Row],[مستهدف عام 2026]]&amp;الجدول4[[#This Row],[المستهدف للربع الأول]]&amp;الجدول4[[#This Row],[المتحقق الفعلي للربع الأول]]&amp;الجدول4[[#This Row],[نسبة الإنجاز ]]&amp;الجدول4[[#This Row],[قيمة الانحراف ]]&amp;الجدول4[[#This Row],[نسبة الانحراف ]]&amp;الجدول4[[#This Row],[ماذا حصل؟]]&amp;الجدول4[[#This Row],[كيف حصل؟]]&amp;الجدول4[[#This Row],[إرفاق  شواهد  الربع الأول]]&amp;الجدول4[[#This Row],[حالة الإعتماد]]&amp;الجدول4[[#This Row],[توصيات  قسم الاستراتيجية]]&amp;الجدول4[[#This Row],[الأداء السنوي]]</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الجدول423" displayName="الجدول423" ref="A2:W80" totalsRowShown="0" headerRowDxfId="137" dataDxfId="136" tableBorderDxfId="135">
  <autoFilter ref="A2:W80" xr:uid="{00000000-0009-0000-0100-000003000000}"/>
  <tableColumns count="23">
    <tableColumn id="1" xr3:uid="{00000000-0010-0000-0200-000001000000}" name="رمزالهدف" dataDxfId="134"/>
    <tableColumn id="2" xr3:uid="{00000000-0010-0000-0200-000002000000}" name="رمزالمؤشر" dataDxfId="133"/>
    <tableColumn id="3" xr3:uid="{00000000-0010-0000-0200-000003000000}" name="اسم المؤشر" dataDxfId="132"/>
    <tableColumn id="4" xr3:uid="{00000000-0010-0000-0200-000004000000}" name="نوع المؤشر" dataDxfId="131"/>
    <tableColumn id="5" xr3:uid="{00000000-0010-0000-0200-000005000000}" name="وحدة القياس" dataDxfId="130"/>
    <tableColumn id="6" xr3:uid="{00000000-0010-0000-0200-000006000000}" name="الإتجاه" dataDxfId="129"/>
    <tableColumn id="7" xr3:uid="{00000000-0010-0000-0200-000007000000}" name="دورية القياس" dataDxfId="128"/>
    <tableColumn id="8" xr3:uid="{00000000-0010-0000-0200-000008000000}" name="البيانات المطلوبة للقياس" dataDxfId="127"/>
    <tableColumn id="9" xr3:uid="{00000000-0010-0000-0200-000009000000}" name="الإدارة المالكة" dataDxfId="126"/>
    <tableColumn id="10" xr3:uid="{00000000-0010-0000-0200-00000A000000}" name="خط الأساس" dataDxfId="125"/>
    <tableColumn id="11" xr3:uid="{00000000-0010-0000-0200-00000B000000}" name="مستهدف عام 2026" dataDxfId="124"/>
    <tableColumn id="12" xr3:uid="{00000000-0010-0000-0200-00000C000000}" name="المستهدف للربع الأول" dataDxfId="123"/>
    <tableColumn id="13" xr3:uid="{00000000-0010-0000-0200-00000D000000}" name="المتحقق الفعلي للربع الأول" dataDxfId="122"/>
    <tableColumn id="14" xr3:uid="{00000000-0010-0000-0200-00000E000000}" name="نسبة الإنجاز Q1" dataDxfId="121" dataCellStyle="Percent">
      <calculatedColumnFormula>10/K3</calculatedColumnFormula>
    </tableColumn>
    <tableColumn id="15" xr3:uid="{00000000-0010-0000-0200-00000F000000}" name="قيمة الانحراف Q1" dataDxfId="120" dataCellStyle="Percent"/>
    <tableColumn id="16" xr3:uid="{00000000-0010-0000-0200-000010000000}" name="نسبة الانحراف Q1" dataDxfId="119" dataCellStyle="Percent"/>
    <tableColumn id="17" xr3:uid="{00000000-0010-0000-0200-000011000000}" name="ماذا حصل Q1؟" dataDxfId="118"/>
    <tableColumn id="18" xr3:uid="{00000000-0010-0000-0200-000012000000}" name="كيف حصل Q1؟" dataDxfId="117"/>
    <tableColumn id="19" xr3:uid="{00000000-0010-0000-0200-000013000000}" name="إرفاق  شواهد  Q1" dataDxfId="116"/>
    <tableColumn id="20" xr3:uid="{00000000-0010-0000-0200-000014000000}" name="حالة الإعتماد" dataDxfId="115"/>
    <tableColumn id="21" xr3:uid="{00000000-0010-0000-0200-000015000000}" name="توصيات  قسم الاستراتيجية" dataDxfId="114"/>
    <tableColumn id="22" xr3:uid="{00000000-0010-0000-0200-000016000000}" name="الأداء السنوي" dataDxfId="113" dataCellStyle="Percent"/>
    <tableColumn id="23" xr3:uid="{00000000-0010-0000-0200-000017000000}" name="نسبة التقدم نحو المستهدف السنوي" dataDxfId="112">
      <calculatedColumnFormula>الجدول423[[#This Row],[رمزالهدف]]&amp;الجدول423[[#This Row],[رمزالمؤشر]]&amp;الجدول423[[#This Row],[اسم المؤشر]]&amp;الجدول423[[#This Row],[نوع المؤشر]]&amp;الجدول423[[#This Row],[وحدة القياس]]&amp;الجدول423[[#This Row],[الإتجاه]]&amp;الجدول423[[#This Row],[دورية القياس]]&amp;الجدول423[[#This Row],[البيانات المطلوبة للقياس]]&amp;الجدول423[[#This Row],[الإدارة المالكة]]&amp;الجدول423[[#This Row],[خط الأساس]]&amp;الجدول423[[#This Row],[مستهدف عام 2026]]&amp;الجدول423[[#This Row],[المستهدف للربع الأول]]&amp;الجدول423[[#This Row],[المتحقق الفعلي للربع الأول]]&amp;الجدول423[[#This Row],[نسبة الإنجاز Q1]]&amp;الجدول423[[#This Row],[قيمة الانحراف Q1]]&amp;الجدول423[[#This Row],[نسبة الانحراف Q1]]&amp;الجدول423[[#This Row],[ماذا حصل Q1؟]]&amp;الجدول423[[#This Row],[كيف حصل Q1؟]]&amp;الجدول423[[#This Row],[إرفاق  شواهد  Q1]]&amp;الجدول423[[#This Row],[حالة الإعتماد]]&amp;الجدول423[[#This Row],[توصيات  قسم الاستراتيجية]]&amp;الجدول423[[#This Row],[الأداء السنوي]]</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الجدول4234" displayName="الجدول4234" ref="A2:W80" totalsRowShown="0" headerRowDxfId="105" dataDxfId="104" tableBorderDxfId="103">
  <autoFilter ref="A2:W80" xr:uid="{00000000-0009-0000-0100-000004000000}"/>
  <tableColumns count="23">
    <tableColumn id="1" xr3:uid="{00000000-0010-0000-0300-000001000000}" name="رمزالهدف" dataDxfId="102"/>
    <tableColumn id="2" xr3:uid="{00000000-0010-0000-0300-000002000000}" name="رمزالمؤشر" dataDxfId="101"/>
    <tableColumn id="3" xr3:uid="{00000000-0010-0000-0300-000003000000}" name="اسم المؤشر" dataDxfId="100"/>
    <tableColumn id="4" xr3:uid="{00000000-0010-0000-0300-000004000000}" name="نوع المؤشر" dataDxfId="99"/>
    <tableColumn id="5" xr3:uid="{00000000-0010-0000-0300-000005000000}" name="وحدة القياس" dataDxfId="98"/>
    <tableColumn id="6" xr3:uid="{00000000-0010-0000-0300-000006000000}" name="الإتجاه" dataDxfId="97"/>
    <tableColumn id="7" xr3:uid="{00000000-0010-0000-0300-000007000000}" name="دورية القياس" dataDxfId="96"/>
    <tableColumn id="8" xr3:uid="{00000000-0010-0000-0300-000008000000}" name="البيانات المطلوبة للقياس" dataDxfId="95"/>
    <tableColumn id="9" xr3:uid="{00000000-0010-0000-0300-000009000000}" name="الإدارة المالكة" dataDxfId="94"/>
    <tableColumn id="10" xr3:uid="{00000000-0010-0000-0300-00000A000000}" name="خط الأساس" dataDxfId="93"/>
    <tableColumn id="11" xr3:uid="{00000000-0010-0000-0300-00000B000000}" name="مستهدف عام 2026" dataDxfId="92"/>
    <tableColumn id="12" xr3:uid="{00000000-0010-0000-0300-00000C000000}" name="المستهدف للربع الأول" dataDxfId="91"/>
    <tableColumn id="13" xr3:uid="{00000000-0010-0000-0300-00000D000000}" name="المتحقق الفعلي للربع الأول" dataDxfId="90"/>
    <tableColumn id="14" xr3:uid="{00000000-0010-0000-0300-00000E000000}" name="نسبة الإنجاز Q1" dataDxfId="89" dataCellStyle="Percent">
      <calculatedColumnFormula>10/K3</calculatedColumnFormula>
    </tableColumn>
    <tableColumn id="15" xr3:uid="{00000000-0010-0000-0300-00000F000000}" name="قيمة الانحراف Q1" dataDxfId="88" dataCellStyle="Percent"/>
    <tableColumn id="16" xr3:uid="{00000000-0010-0000-0300-000010000000}" name="نسبة الانحراف Q1" dataDxfId="87" dataCellStyle="Percent"/>
    <tableColumn id="17" xr3:uid="{00000000-0010-0000-0300-000011000000}" name="ماذا حصل Q1؟" dataDxfId="86"/>
    <tableColumn id="18" xr3:uid="{00000000-0010-0000-0300-000012000000}" name="كيف حصل Q1؟" dataDxfId="85"/>
    <tableColumn id="19" xr3:uid="{00000000-0010-0000-0300-000013000000}" name="إرفاق  شواهد  Q1" dataDxfId="84"/>
    <tableColumn id="20" xr3:uid="{00000000-0010-0000-0300-000014000000}" name="حالة الإعتماد" dataDxfId="83"/>
    <tableColumn id="21" xr3:uid="{00000000-0010-0000-0300-000015000000}" name="توصيات  قسم الاستراتيجية" dataDxfId="82"/>
    <tableColumn id="22" xr3:uid="{00000000-0010-0000-0300-000016000000}" name="الأداء السنوي" dataDxfId="81" dataCellStyle="Percent"/>
    <tableColumn id="23" xr3:uid="{00000000-0010-0000-0300-000017000000}" name="نسبة التقدم نحو المستهدف السنوي" dataDxfId="80">
      <calculatedColumnFormula>الجدول4234[[#This Row],[رمزالهدف]]&amp;الجدول4234[[#This Row],[رمزالمؤشر]]&amp;الجدول4234[[#This Row],[اسم المؤشر]]&amp;الجدول4234[[#This Row],[نوع المؤشر]]&amp;الجدول4234[[#This Row],[وحدة القياس]]&amp;الجدول4234[[#This Row],[الإتجاه]]&amp;الجدول4234[[#This Row],[دورية القياس]]&amp;الجدول4234[[#This Row],[البيانات المطلوبة للقياس]]&amp;الجدول4234[[#This Row],[الإدارة المالكة]]&amp;الجدول4234[[#This Row],[خط الأساس]]&amp;الجدول4234[[#This Row],[مستهدف عام 2026]]&amp;الجدول4234[[#This Row],[المستهدف للربع الأول]]&amp;الجدول4234[[#This Row],[المتحقق الفعلي للربع الأول]]&amp;الجدول4234[[#This Row],[نسبة الإنجاز Q1]]&amp;الجدول4234[[#This Row],[قيمة الانحراف Q1]]&amp;الجدول4234[[#This Row],[نسبة الانحراف Q1]]&amp;الجدول4234[[#This Row],[ماذا حصل Q1؟]]&amp;الجدول4234[[#This Row],[كيف حصل Q1؟]]&amp;الجدول4234[[#This Row],[إرفاق  شواهد  Q1]]&amp;الجدول4234[[#This Row],[حالة الإعتماد]]&amp;الجدول4234[[#This Row],[توصيات  قسم الاستراتيجية]]&amp;الجدول4234[[#This Row],[الأداء السنوي]]</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الجدول42" displayName="الجدول42" ref="A2:R79" totalsRowShown="0" headerRowDxfId="20" dataDxfId="19" tableBorderDxfId="18">
  <autoFilter ref="A2:R79" xr:uid="{00000000-0009-0000-0100-000002000000}"/>
  <tableColumns count="18">
    <tableColumn id="1" xr3:uid="{00000000-0010-0000-0100-000001000000}" name="رمزالهدف" dataDxfId="17"/>
    <tableColumn id="2" xr3:uid="{00000000-0010-0000-0100-000002000000}" name="رمزالمؤشر" dataDxfId="16"/>
    <tableColumn id="3" xr3:uid="{00000000-0010-0000-0100-000003000000}" name="اسم المؤشر" dataDxfId="15"/>
    <tableColumn id="4" xr3:uid="{00000000-0010-0000-0100-000004000000}" name="نوع المؤشر" dataDxfId="14"/>
    <tableColumn id="5" xr3:uid="{00000000-0010-0000-0100-000005000000}" name="وحدة القياس" dataDxfId="13"/>
    <tableColumn id="6" xr3:uid="{00000000-0010-0000-0100-000006000000}" name="الإتجاه" dataDxfId="12"/>
    <tableColumn id="7" xr3:uid="{00000000-0010-0000-0100-000007000000}" name="دورية القياس" dataDxfId="11"/>
    <tableColumn id="8" xr3:uid="{00000000-0010-0000-0100-000008000000}" name="البيانات المطلوبة للقياس" dataDxfId="10"/>
    <tableColumn id="9" xr3:uid="{00000000-0010-0000-0100-000009000000}" name="الإدارة المالكة" dataDxfId="9"/>
    <tableColumn id="10" xr3:uid="{00000000-0010-0000-0100-00000A000000}" name="خط الأساس" dataDxfId="8"/>
    <tableColumn id="11" xr3:uid="{00000000-0010-0000-0100-00000B000000}" name="مستهدف عام 2026" dataDxfId="7"/>
    <tableColumn id="12" xr3:uid="{00000000-0010-0000-0100-00000C000000}" name="المستهدف للربع الثاني" dataDxfId="6"/>
    <tableColumn id="13" xr3:uid="{00000000-0010-0000-0100-00000D000000}" name="المتحقق الفعلي للربع الثاني" dataDxfId="5"/>
    <tableColumn id="17" xr3:uid="{00000000-0010-0000-0100-000011000000}" name="ماذا حصل ؟" dataDxfId="4"/>
    <tableColumn id="18" xr3:uid="{00000000-0010-0000-0100-000012000000}" name="كيف حصل ؟" dataDxfId="3"/>
    <tableColumn id="19" xr3:uid="{00000000-0010-0000-0100-000013000000}" name="إرفاق  شواهد" dataDxfId="2"/>
    <tableColumn id="20" xr3:uid="{00000000-0010-0000-0100-000014000000}" name="حالة الإعتماد" dataDxfId="1"/>
    <tableColumn id="21" xr3:uid="{00000000-0010-0000-0100-000015000000}" name="توصيات  قسم الاستراتيجية" dataDxfId="0"/>
  </tableColumns>
  <tableStyleInfo name="TableStyleMedium2" showFirstColumn="0" showLastColumn="0" showRowStripes="1" showColumnStripes="0"/>
</table>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lzaadsa-my.sharepoint.com/:x:/g/personal/fatimahalfahhad_alzaad_org_sa/IQAn5SLQ8esGR4bRNysz8R17AZJZE6_VY_rFI-8WfuEWaSw?e=WbIIKZ" TargetMode="External"/><Relationship Id="rId13" Type="http://schemas.openxmlformats.org/officeDocument/2006/relationships/hyperlink" Target="https://alzaadsa-my.sharepoint.com/:f:/g/personal/pmo_alzaad_org_sa/IgB58WHETVQ_Q4DgceOIZzkCAQUMWuQqZPxBrs7NtLkrCWk?e=dMWBUU" TargetMode="External"/><Relationship Id="rId18" Type="http://schemas.openxmlformats.org/officeDocument/2006/relationships/hyperlink" Target="https://alzaadsa-my.sharepoint.com/:x:/g/personal/pmo_alzaad_org_sa/IQCu-MV0BSBXQaE85-rKFY1DARFC1aDayyX5MG4joqFuHJA?e=N3ZOlw" TargetMode="External"/><Relationship Id="rId3" Type="http://schemas.openxmlformats.org/officeDocument/2006/relationships/hyperlink" Target="https://alzaadsa-my.sharepoint.com/:f:/g/personal/pmo_alzaad_org_sa/IgCbNGBHRNNQTYu3YBPI6lymAVXxz4SpJHHo2UeeV00MUIc?e=f8gMAi" TargetMode="External"/><Relationship Id="rId21" Type="http://schemas.microsoft.com/office/2019/04/relationships/namedSheetView" Target="../namedSheetViews/namedSheetView1.xml"/><Relationship Id="rId7" Type="http://schemas.openxmlformats.org/officeDocument/2006/relationships/hyperlink" Target="https://alzaadsa-my.sharepoint.com/:x:/g/personal/fatimahalfahhad_alzaad_org_sa/IQAn5SLQ8esGR4bRNysz8R17AZJZE6_VY_rFI-8WfuEWaSw?e=WbIIKZ" TargetMode="External"/><Relationship Id="rId12" Type="http://schemas.openxmlformats.org/officeDocument/2006/relationships/hyperlink" Target="https://alzaadsa-my.sharepoint.com/:f:/g/personal/pmo_alzaad_org_sa/IgCDUBH8AxwnR5n1t-a_pKQnAaAUFpeqYxzm1efcwfylJlc?e=zq4J83" TargetMode="External"/><Relationship Id="rId17" Type="http://schemas.openxmlformats.org/officeDocument/2006/relationships/hyperlink" Target="https://alzaadsa-my.sharepoint.com/:x:/g/personal/pmo_alzaad_org_sa/IQBUK_2ZwxVnSJVTBIzV_hsZAXgJc30bu00sFkZ6RSRG_-M?e=rvEBgA" TargetMode="External"/><Relationship Id="rId2" Type="http://schemas.openxmlformats.org/officeDocument/2006/relationships/hyperlink" Target="https://alzaadsa-my.sharepoint.com/:f:/g/personal/pmo_alzaad_org_sa/IgDQScURYHGIQ7kaeFyA90dGARzfU2mfqbr2DwVwu67V_0w?e=OqW5VS" TargetMode="External"/><Relationship Id="rId16" Type="http://schemas.openxmlformats.org/officeDocument/2006/relationships/hyperlink" Target="https://alzaadsa-my.sharepoint.com/:x:/g/personal/pmo_alzaad_org_sa/IQDo-smBxou5RJXMyGYglAzCAaF2cTSRecZdS3gFJmFPBUk?e=BB1ZKd" TargetMode="External"/><Relationship Id="rId20" Type="http://schemas.openxmlformats.org/officeDocument/2006/relationships/table" Target="../tables/table1.xml"/><Relationship Id="rId1" Type="http://schemas.openxmlformats.org/officeDocument/2006/relationships/hyperlink" Target="https://alzaadsa-my.sharepoint.com/:f:/g/personal/pmo_alzaad_org_sa/IgCm4lDpckJJTJ4sl6PHKGF-AZJ7SF-SgYJUUneY8dTJSAk?e=lUY9To" TargetMode="External"/><Relationship Id="rId6" Type="http://schemas.openxmlformats.org/officeDocument/2006/relationships/hyperlink" Target="https://alzaadsa-my.sharepoint.com/:f:/g/personal/pmo_alzaad_org_sa/IgDnnSpdyZUPS6qi4BP-WXbEAd1S0ktS_tLEnYYBQ7jh-M0?e=sGLaGX" TargetMode="External"/><Relationship Id="rId11" Type="http://schemas.openxmlformats.org/officeDocument/2006/relationships/hyperlink" Target="https://alzaadsa-my.sharepoint.com/:f:/g/personal/pmo_alzaad_org_sa/IgDvFW9U-8gJTKea7hCXZCtxASzaXIeOtAqarTli4uSIAjc?e=kL9T17" TargetMode="External"/><Relationship Id="rId5" Type="http://schemas.openxmlformats.org/officeDocument/2006/relationships/hyperlink" Target="https://alzaadsa-my.sharepoint.com/:f:/g/personal/pmo_alzaad_org_sa/IgDH94sU2j0MRKTSP4WoxzDxAYHU9-kCP3jQSjKJoDCtutQ?e=CUm7Es" TargetMode="External"/><Relationship Id="rId15" Type="http://schemas.openxmlformats.org/officeDocument/2006/relationships/hyperlink" Target="https://alzaadsa-my.sharepoint.com/:x:/g/personal/yousefalmuaiouf_alzaad_org_sa/IQAQ2zUsxLyKRqWVoDs908tUAbjUVPVsKrm86YCwYspPbEk?e=8Nntxp" TargetMode="External"/><Relationship Id="rId10" Type="http://schemas.openxmlformats.org/officeDocument/2006/relationships/hyperlink" Target="https://alzaadsa-my.sharepoint.com/:x:/g/personal/pmo_alzaad_org_sa/IQDmkNEYJJcnTIiVH0N9tMJlAaZtUycDhD1pD7UAviVVD7U?e=sJ9PA3" TargetMode="External"/><Relationship Id="rId19" Type="http://schemas.openxmlformats.org/officeDocument/2006/relationships/hyperlink" Target="https://alzaadsa-my.sharepoint.com/:b:/g/personal/hr_alzaad_org_sa/IQAlUTY_UAvAQqcveKOafJ-4AV02mymy2VpW1OOvfhUsIyc?e=5pjBts" TargetMode="External"/><Relationship Id="rId4" Type="http://schemas.openxmlformats.org/officeDocument/2006/relationships/hyperlink" Target="https://alzaadsa-my.sharepoint.com/:f:/g/personal/pmo_alzaad_org_sa/IgC1Vy_o_8QpQKa0cQvW-ARyAcaKG_WF3bMi3iXLUhs_YsA?e=2OGDS0" TargetMode="External"/><Relationship Id="rId9" Type="http://schemas.openxmlformats.org/officeDocument/2006/relationships/hyperlink" Target="https://alzaadsa-my.sharepoint.com/:x:/g/personal/pmo_alzaad_org_sa/IQBwLnP-LDbwSKj_c5vfPyzRAeHe-DbbZ_M8YEtVolSWL3c?e=GGnWa6" TargetMode="External"/><Relationship Id="rId14" Type="http://schemas.openxmlformats.org/officeDocument/2006/relationships/hyperlink" Target="https://alzaadsa-my.sharepoint.com/:x:/g/personal/pmo_alzaad_org_sa/IQB7vy07ymgcRJU2sFCDjBzTAeGhMft73-1Z23WQxuOkdHA?e=koPBp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ورقة1">
    <tabColor theme="4" tint="0.79998168889431442"/>
  </sheetPr>
  <dimension ref="A1:CB82"/>
  <sheetViews>
    <sheetView rightToLeft="1" topLeftCell="Q4" zoomScaleNormal="100" workbookViewId="0">
      <selection activeCell="S6" sqref="S6"/>
    </sheetView>
  </sheetViews>
  <sheetFormatPr defaultColWidth="9.140625" defaultRowHeight="16.899999999999999"/>
  <cols>
    <col min="1" max="1" width="20.42578125" style="32" customWidth="1"/>
    <col min="2" max="2" width="23.28515625" customWidth="1"/>
    <col min="3" max="3" width="49.7109375" customWidth="1"/>
    <col min="4" max="4" width="23.42578125" customWidth="1"/>
    <col min="5" max="5" width="21" style="33" customWidth="1"/>
    <col min="6" max="6" width="19" customWidth="1"/>
    <col min="7" max="7" width="19.42578125" customWidth="1"/>
    <col min="8" max="8" width="64.42578125" customWidth="1"/>
    <col min="9" max="9" width="33.7109375" style="34" customWidth="1"/>
    <col min="10" max="10" width="33.140625" hidden="1" customWidth="1"/>
    <col min="11" max="11" width="25.7109375" style="35" customWidth="1"/>
    <col min="12" max="12" width="28.42578125" customWidth="1"/>
    <col min="13" max="13" width="33" style="35" customWidth="1"/>
    <col min="14" max="14" width="26.5703125" style="34" customWidth="1"/>
    <col min="15" max="15" width="26" style="36" hidden="1" customWidth="1"/>
    <col min="16" max="16" width="27.85546875" style="37" hidden="1" customWidth="1"/>
    <col min="17" max="18" width="55.28515625" style="34" customWidth="1"/>
    <col min="19" max="19" width="31" style="34" customWidth="1"/>
    <col min="20" max="20" width="22.5703125" style="34" customWidth="1"/>
    <col min="21" max="21" width="33" style="34" customWidth="1"/>
    <col min="22" max="22" width="24.42578125" style="38" customWidth="1"/>
    <col min="23" max="23" width="40.5703125" customWidth="1"/>
    <col min="24" max="24" width="0" hidden="1" bestFit="1" customWidth="1"/>
    <col min="25" max="26" width="9.140625" customWidth="1"/>
    <col min="27" max="27" width="15.42578125" customWidth="1"/>
    <col min="28" max="49" width="9.140625" customWidth="1"/>
    <col min="50" max="50" width="0" hidden="1"/>
    <col min="51" max="51" width="9.140625" customWidth="1"/>
  </cols>
  <sheetData>
    <row r="1" spans="1:80" ht="42" customHeight="1">
      <c r="A1" s="341" t="s">
        <v>0</v>
      </c>
      <c r="B1" s="344"/>
      <c r="C1" s="344"/>
      <c r="D1" s="344"/>
      <c r="E1" s="344"/>
      <c r="F1" s="344"/>
      <c r="G1" s="344"/>
      <c r="H1" s="344"/>
      <c r="I1" s="344"/>
      <c r="J1" s="344"/>
      <c r="K1" s="344"/>
      <c r="L1" s="344"/>
      <c r="M1" s="344"/>
      <c r="N1" s="344"/>
      <c r="O1" s="344"/>
      <c r="P1" s="344"/>
      <c r="Q1" s="344"/>
      <c r="R1" s="344"/>
      <c r="S1" s="344"/>
      <c r="T1" s="344"/>
      <c r="U1" s="344"/>
      <c r="V1" s="344"/>
      <c r="W1" s="345"/>
    </row>
    <row r="2" spans="1:80" s="91" customFormat="1" ht="29.25" customHeight="1">
      <c r="A2" s="92" t="s">
        <v>1</v>
      </c>
      <c r="B2" s="92" t="s">
        <v>2</v>
      </c>
      <c r="C2" s="92" t="s">
        <v>3</v>
      </c>
      <c r="D2" s="92" t="s">
        <v>4</v>
      </c>
      <c r="E2" s="92" t="s">
        <v>5</v>
      </c>
      <c r="F2" s="92" t="s">
        <v>6</v>
      </c>
      <c r="G2" s="92" t="s">
        <v>7</v>
      </c>
      <c r="H2" s="92" t="s">
        <v>8</v>
      </c>
      <c r="I2" s="92" t="s">
        <v>9</v>
      </c>
      <c r="J2" s="92" t="s">
        <v>10</v>
      </c>
      <c r="K2" s="93" t="s">
        <v>11</v>
      </c>
      <c r="L2" s="92" t="s">
        <v>12</v>
      </c>
      <c r="M2" s="93" t="s">
        <v>13</v>
      </c>
      <c r="N2" s="93" t="s">
        <v>14</v>
      </c>
      <c r="O2" s="94" t="s">
        <v>15</v>
      </c>
      <c r="P2" s="95" t="s">
        <v>16</v>
      </c>
      <c r="Q2" s="92" t="s">
        <v>17</v>
      </c>
      <c r="R2" s="92" t="s">
        <v>18</v>
      </c>
      <c r="S2" s="92" t="s">
        <v>19</v>
      </c>
      <c r="T2" s="92" t="s">
        <v>20</v>
      </c>
      <c r="U2" s="96" t="s">
        <v>21</v>
      </c>
      <c r="V2" s="97" t="s">
        <v>22</v>
      </c>
      <c r="W2" s="97" t="s">
        <v>23</v>
      </c>
      <c r="X2" s="90" t="s">
        <v>24</v>
      </c>
    </row>
    <row r="3" spans="1:80" s="107" customFormat="1" ht="37.5" customHeight="1">
      <c r="A3" s="98" t="s">
        <v>25</v>
      </c>
      <c r="B3" s="99" t="s">
        <v>26</v>
      </c>
      <c r="C3" s="100" t="s">
        <v>27</v>
      </c>
      <c r="D3" s="100" t="s">
        <v>28</v>
      </c>
      <c r="E3" s="99" t="s">
        <v>29</v>
      </c>
      <c r="F3" s="99" t="s">
        <v>30</v>
      </c>
      <c r="G3" s="99" t="s">
        <v>31</v>
      </c>
      <c r="H3" s="99" t="s">
        <v>32</v>
      </c>
      <c r="I3" s="99" t="s">
        <v>33</v>
      </c>
      <c r="J3" s="99">
        <v>0</v>
      </c>
      <c r="K3" s="193">
        <v>20000</v>
      </c>
      <c r="L3" s="196">
        <v>4000</v>
      </c>
      <c r="M3" s="101"/>
      <c r="N3" s="103" t="str">
        <f t="shared" ref="N3:N33" si="0">IF(AND($T3="معتمد",$L3&gt;0),$M3/$L3,"")</f>
        <v/>
      </c>
      <c r="O3" s="104" t="str">
        <f t="shared" ref="O3:O33" si="1">IF($T3="معتمد",$M3-$L3,"")</f>
        <v/>
      </c>
      <c r="P3" s="103" t="str">
        <f t="shared" ref="P3:P33" si="2">IF(AND($T3="معتمد",$L3&gt;0),($M3-$L3)/$L3,"")</f>
        <v/>
      </c>
      <c r="Q3" s="100"/>
      <c r="R3" s="100"/>
      <c r="S3" s="100"/>
      <c r="T3" s="100"/>
      <c r="U3" s="100"/>
      <c r="V3" s="105" t="str">
        <f>IF($T3&lt;&gt;"معتمد","",IFERROR((IF(AND($T3="معتمد",$L3&gt;0),$M3,0))/(IF(AND($T3="معتمد",$L3&gt;0),$L3,0)),""))</f>
        <v/>
      </c>
      <c r="W3" s="105" t="str">
        <f t="shared" ref="W3:W33" si="3">IF(AND($T3="معتمد",$K3&gt;0),(IF($T3="معتمد",$M3,0))/$K3,"")</f>
        <v/>
      </c>
      <c r="X3" s="106" t="str">
        <f t="shared" ref="X3:X33" si="4">A3&amp;B3&amp;C3&amp;D3&amp;E3&amp;F3&amp;G3&amp;H3&amp;I3&amp;J3&amp;K3&amp;L3&amp;M3&amp;N3&amp;O3&amp;P3&amp;Q3&amp;R3&amp;S3&amp;T3&amp;U3&amp;V3&amp;W3</f>
        <v>ع1ع1-1متوسط ما تتحصل عليه الأسرة من الجمعية استراتيجيريالكلما زاد كان أفضلربع سنويتقرير مالي بالمعونات المقدمة للأسر المستفيدة وعدد الأسر المستفيدةإدارة الرعاية و التمكين0200004000</v>
      </c>
      <c r="AA3" s="223" t="s">
        <v>34</v>
      </c>
      <c r="AB3" s="224"/>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row>
    <row r="4" spans="1:80" s="107" customFormat="1" ht="409.6">
      <c r="A4" s="108" t="s">
        <v>25</v>
      </c>
      <c r="B4" s="109" t="s">
        <v>35</v>
      </c>
      <c r="C4" s="110" t="s">
        <v>36</v>
      </c>
      <c r="D4" s="110" t="s">
        <v>28</v>
      </c>
      <c r="E4" s="109" t="s">
        <v>37</v>
      </c>
      <c r="F4" s="109" t="s">
        <v>30</v>
      </c>
      <c r="G4" s="109" t="s">
        <v>31</v>
      </c>
      <c r="H4" s="109" t="s">
        <v>38</v>
      </c>
      <c r="I4" s="109" t="s">
        <v>33</v>
      </c>
      <c r="J4" s="109">
        <v>0</v>
      </c>
      <c r="K4" s="111">
        <v>0.94</v>
      </c>
      <c r="L4" s="200">
        <v>0.94</v>
      </c>
      <c r="M4" s="206">
        <v>0.94</v>
      </c>
      <c r="N4" s="113" t="str">
        <f t="shared" si="0"/>
        <v/>
      </c>
      <c r="O4" s="114" t="str">
        <f t="shared" si="1"/>
        <v/>
      </c>
      <c r="P4" s="113" t="str">
        <f t="shared" si="2"/>
        <v/>
      </c>
      <c r="Q4" s="115" t="s">
        <v>39</v>
      </c>
      <c r="R4" s="115" t="s">
        <v>40</v>
      </c>
      <c r="S4" s="228" t="s">
        <v>41</v>
      </c>
      <c r="T4" s="115"/>
      <c r="U4" s="115"/>
      <c r="V4" s="116" t="str">
        <f t="shared" ref="V3:V33" si="5">IF($T4&lt;&gt;"معتمد","",IFERROR((IF(AND($T4="معتمد",$L4&gt;0),$M4,0))/(IF(AND($T4="معتمد",$L4&gt;0),$L4,0)),""))</f>
        <v/>
      </c>
      <c r="W4" s="116" t="str">
        <f t="shared" si="3"/>
        <v/>
      </c>
      <c r="X4" s="106" t="str">
        <f t="shared" si="4"/>
        <v>ع1ع2-1نسبة الأسر التي تم توفير الاحتياجات الضرورية لها استراتيجينسبةكلما زاد كان أفضلربع سنويتقرير يصف الإحتياجات الضرورية المعرّفة في الجمعية والأسر المستفيدة منهاإدارة الرعاية و التمكين00.940.940.94أولًا:تم تغذية بطاقات منافذ لجميع الأسر النشطة وذلك في التاريخ المعتمد 15 من كل شهر ميلادي
بمبالغ مخصصة وفق اللوائح المعمول بها  لكل أسرة حسب عدد أفرادها،وبلغ عدد الأسر المكفولة في شهر يناير / 151 أسرة 
واجمالي مبلغ الكفالة لشهر يناير / 66400 ريال
ثانيًا:تم تغذية بطاقات منافذ لجميع الأسر النشطة وذلك في التاريخ المعتمد 15 من كل شهر ميلادي
بمبالغ مخصصة وفق اللوائح المعمول بها  لكل أسرة حسب عدد أفرادها وبلغ عدد الأسر المكفولة في شهر فبراير/ 172 أسرة 
واجمالي مبلغ الكفالة لشهر يناير / 72900 ريال
ثالثًا:تم تغذية بطاقات منافذ لجميع الأسر النشطة وذلك في التاريخ المعتمد 15 من كل شهر ميلادي
بمبالغ مخصصة وفق اللوائح المعمول بها  لكل أسرة حسب عدد أفرادها وبلغ عدد الأسر المكفولة في شهر فبراير/ 171 أسرة 
واجمالي مبلغ الكفالة لشهر يناير / 73450 ريال
رابعًا:تم تغذية بطاقات منافذ للأسر التي لديها طلاب بالمرحلة الابتدائية والمتوسطة والثانوية بمبلع الحقيبة المدرسية المخصص لكل طالب وهو 150ريال وبلغ اجمالي عدد الطلاب: 235  واجمالي تغذية البطاقات: 35250 ريال
خامسًا:تم السداد للحالات الطارئة من مشروع امان وذلك لبعض المديونيات المتعثرة لدى المستفيدين كما بلغ عدد المستفيدين للبرنامج 17 مستفيدعلى ثلاثة مراحل متفاوتة ، باجمالي مبلغ السداد 12446684ريال 
سادسًا: تم اكمال منزل مستفيد وتعتبر الحالة الثالثة والأخيرة الالحاقية لبرنامج اكمال المنازل في 2025 وبلغ تكلفة المشروع لهذه الحالة 168212 ريال ، كما بلغ عدد المستفيدي لكامل المشروع ثلاثة مستفيين باجمالي تكلفة المشروع 240000 ريال
سابعًا: المطابخ : تم تركيب 5 مطابخ لخمسة مستفيدين 
الأجهزة الكهربائية:تم صرف وتوصيل 7 أجهزة كهربائية للمستفيدين بعدد: 
4 أفران+ 1 غسالة + 2 ثلاجة .
الأثاث: تم صرف كنب لثلاثة أسر مستفيدة مستحقة وايصاله لمنازلهم.
ثامنًا: صرف سلال غذائية على جميع الأسر المستفيدة لجميع فئات الجمعية وتسليمها لهم من خلال مستودع الجمعية
تاسعًا: تم تنظيم رحلة لآداء مناسك العمرة وانضمام 33 مستفيد في يوم الاثنين الموافق 15 رمضان لمدة ثلاثة أيام 
كما شملت رحلة العمرة أهم الخدمات (النقل والسكن والوجبات الرئيسية)
عاشرًا: تم تغذية بطاقات منافذ لجميع الأسر النشطة وذلك في التاريخ المعتمد 9 مارس يوم الاثنين بمبالغ مخصصة وفق اللوائح المعمول بها  لكل أسرة حسب عدد أفرادها وذلك ملاءمة لتغذية الكفالة الشهرية والمبالغ المقدرة للأسر وبلغ عدد الأسر التي تم دعمهم بكسوة العيد / 173 أسرة واجمالي مبلغ كسوة عيد الفطر / 73750 ريال، تم توزيع هدايا العيد على جميع الأسر المستفيدة وتم تحديد الهدية وهي من محل قوتي للحلويات بلغ عدد المستفيدين من هدية العيد 450 أسرة ، وذلك بكبلغ وقدره 10440 ريال+ هدايا ابناء الاسر 300 هدية، تم تصنيف المستفيدين المستحقين لزكاة الفطر ، وتوزيع وتوزيع الفطرة عليهم ، وذلك وفق سياسة تنظيم للزمان والمكان باشعار المستفيدين ومتابعتهم أولاً:اثر التحديث السنوي للأسر المستفيدة وفرز النشطين والمستحقين ومن تم تسجيله وقبوله خلال هذه الفترة ، وخلال تنشيط ملفاتهم يتم تحديد العدد والعمر مقابل المبلغ المحدد لكل فرد وفق اللوائح المعمول بها، ثم تصنيف القائمة ورفع طلب التغذية في نظام منافذ واشعار المستفيدين بذلك.
ثانياً:التحقق من استمرارية استحقاق النشطين وقبول المتقدمين الجدد ، يتم تحديد العدد والعمر مقابل المبلغ المحدد لكل فرد وفق اللوائح المعمول بها، ثم تصنيف القائمة ورفع طلب التغذية في نظام منافذ واشعار المستفيدين بذلك.
ثالثاً:التحقق من استمرارية استحقاق النشطين وقبول المتقدمين الجدد ، يتم تحديد العدد والعمر مقابل المبلغ المحدد لكل فرد وفق اللوائح المعمول بها، ثم تصنيف القائمة ورفع طلب التغذية في نظام منافذ واشعار المستفيدين بذلك.
رابعاً:فرز وحصر المستفيدين الرعويين ، من خلال النشطين على نظام خير وتم تقدير مبلغ موحد وهو 400 ريال لكل الأسر تحليلاً لمشتريات سابقة، ومن ثم رفع طلب تغذية على نظام منافذ ، وتحديد منافذ العنايى واشعار المستفيدين بذلك .
خامساً:من خلال فرز التابعين حسب العمر والمرحلة الدراسية في نظام خير والتواصل مع الأسر والتحقق منها ، وتم تحديد مبلغ لكل الطلاب واعتماده وايداعه في حسابهم في منافذ واشعارهم بذلك.
سادساً:تم حصر المستفيدين المديونين وذلك من خلال التواصل والاستبيانات وفرز المستحقين للسداد حسب سياسة المشروع ، ومن ثم رفع القوائم للمالية واعتماد السداد واشعار المستفيدين.
سابعاً:من خلال الزيارات الميدانية للباحثين للأسر المستفيدة تم حصر وفرز من كان وضع منزل غير صالح ويحتاج لتدخل واكمال بناء وترميم ، ورفع تقارير بالصور والمرئيات للإدارة واعتماد الحالات المرشحة ، ومن ثم تم التعاقد مع الشركات المقاولة واعتمادة وبدء التنفيذ والانتهاء منه.
ثامنا:"تم فرز وحصر طلبات المستفيدين المرفوعة في نظام خير
حسب كل برنامج وتوفر الطلبات والتأكد من استحقاقيتهم للطلبات المرفوعة من خلال الزيارات الميدانية واعتماد الاستحقاق 
ومن بعد ذلك يتم صرف لكل مستفيد 
* الأجهزة الكهربائية وتوزيعها في زيارة مؤسسة الراجحي الخيرية عبر زيارات ميدانية للأسر المستحقة.
* الأثاث (الكنبات) تم استقبالها من الداعم في مستودع الجمعية وتم تسليمها للمستفيدين المستحقين.
* المطابخ تم الاتفاق مع شركة مطابخ وفق اتفاقية الداعم للبرنامج بزيارة مسبقة لأخذ المقاسات الدقيقة ومن ثم تركيبها بشكل كامل. "
تاسعاً:تم استقبال سلال غذائية من المتبرعين، ثم تم صرف سلال غذائية على جميع الأسر المستفيدة لجميع فئات الجمعية واشعارهم بذلك وتسليمها لهم من خلال مستودع الجمعية.
عاشراً:"تم حصر المستفيدين من خلال ارسال نموذج بالرغبة في الانضمام 
ومتابعة التواصل مع المستفيد بالتحقق والاستحقاق وتسجيل مرافق معه ان وجد
وتنظيم العمرة باتفاق مع شركة (المنفذ المثالث) 
وتم تعيين مشرف للعمرة ومتطوع متعاون لترتيب وتنظيم العمرة بشكل متكامل ومنظم"
الحادي عشر:فرز وحصر المستفيدين الرعويين ، من خلال النشطين على نظام خير وتم تقدير مبلغ كسوة العيد مماثلاُ لمبلغ الكفالة الشهرية، ومن ثم رفع طلب تغذية على نظام منافذ ، وتحديد منافذ الكسوة واشعار المستفيدين بذلك.
الثاني عشر:تم فرز المستفيدين المستحقين لهدية العيد من فئتي الرعوي والتنموي وتحديد اجمالي العدد، ومن ثم البحث عن صنف مناسب لتقديمه هدية عيد للمستفيدين، والعمل على المعاملات والمطالبات المالية، واستلامها وترتيبها وتجهيزها وتقديمها للأسر مع زكاة الفطر.
الثالث عشر:تم فرز المستفيدين المستحقين زكاة الفطر من جميع الفئات الرعوي والتنموي وفئة هـ  وتحديد الكمية المقدرة لكل أسرة حسب عدد أفرادها، ويتم تسليمها للأسر المستفيدة وفق سياسة تنظيم معتمدة وتعمم على الأسر المستفيدة.مؤشر نسبة الأسر التي تم توفير الاحتياجات الضرورية لها</v>
      </c>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row>
    <row r="5" spans="1:80" s="107" customFormat="1" ht="192">
      <c r="A5" s="99" t="s">
        <v>42</v>
      </c>
      <c r="B5" s="99" t="s">
        <v>43</v>
      </c>
      <c r="C5" s="100" t="s">
        <v>44</v>
      </c>
      <c r="D5" s="100" t="s">
        <v>28</v>
      </c>
      <c r="E5" s="99" t="s">
        <v>45</v>
      </c>
      <c r="F5" s="99" t="s">
        <v>30</v>
      </c>
      <c r="G5" s="99" t="s">
        <v>31</v>
      </c>
      <c r="H5" s="99" t="s">
        <v>46</v>
      </c>
      <c r="I5" s="99" t="s">
        <v>33</v>
      </c>
      <c r="J5" s="99">
        <v>0</v>
      </c>
      <c r="K5" s="101">
        <v>450</v>
      </c>
      <c r="L5" s="117">
        <v>100</v>
      </c>
      <c r="M5" s="101">
        <v>102</v>
      </c>
      <c r="N5" s="103" t="str">
        <f t="shared" si="0"/>
        <v/>
      </c>
      <c r="O5" s="104" t="str">
        <f t="shared" si="1"/>
        <v/>
      </c>
      <c r="P5" s="103" t="str">
        <f t="shared" si="2"/>
        <v/>
      </c>
      <c r="Q5" s="100" t="s">
        <v>47</v>
      </c>
      <c r="R5" s="100" t="s">
        <v>48</v>
      </c>
      <c r="S5" s="228" t="s">
        <v>49</v>
      </c>
      <c r="T5" s="100"/>
      <c r="U5" s="100"/>
      <c r="V5" s="105" t="str">
        <f t="shared" si="5"/>
        <v/>
      </c>
      <c r="W5" s="105" t="str">
        <f>IF(AND($T5="معتمد",$K5&gt;0),(IF($T5="معتمد",$M5,0))/$K5,"")</f>
        <v/>
      </c>
      <c r="X5" s="106" t="str">
        <f t="shared" si="4"/>
        <v>ع2ع1-2عدد المستفيدين الذين تم تأهيلهماستراتيجيمستفيدكلما زاد كان أفضلربع سنويقائمة ببرامج التأهيل وعدد المستفيدين من كل برنامجإدارة الرعاية و التمكين0450100102أولاً:تم ربط عدد (34) مشترك/ة من أبناء وبنات الأسر المستفيدة في برنامج غراس الرمضاني، بالتعاون مع عدد من الأكاديميات الشريكة.
ثانياً:تم تكريم عدد  ( 27) متفوقًا ومتفوقة في جائزة التفوق للفصل الأول، وتوزيع الشهادات والجوائز  في حفل منظم، بالإضافة إلى إطلاق التسجيل في الجائزة  للفصل الدراسي الثاني.
ثالثاً:تم تأهيل عدد (20) من الخريجات في دورة المقابلات الوظيفية "كيف تعرف بذاتك " المقامة بالتعاون مع صندوق تنمية الموارد البشرية – هدف، كما تم تأهيل عدد (2) من الخريجات في دورة المكياج الاحترافي مع المدربة سمية الغفيلي، بالاضافة الى تأهيل عدد ( 7)  من الخريجين من خلال دورة المهارات الناعمة وفن الاتصال المقامة بالتعاون مع مركز التنمية الاجتماعية – جادة 30، وأيضًا تم ربط مستفيد واحد في برنامج "أساسيات ريادة الأعمال في استثمار المواهب والقدرات" المقام في مركز العثيم فاب لاب، كما تم حصول عدد ( 10 ) من الخريجين في دورة السكرتارية و المهارات الادارية و المنفذة من وحدة التمكين لتابعة للضمان الإجتماعي .
رابعاً:تم خلال الربع دراسة حالة تعليمية واحدة لأحد طلاب الأسر المستفيدة المتعثرين في سداد الرسوم.اولاً:تم ذلك من خلال تفعيل الشراكة مع أكاديمية رموز المستقبل ومركز سواعد وأفكار للتدريب، وإعداد خطة تنفيذية متكاملة تضمنت تحديد الأدوار والضوابط المنظمة للعمل مع الشركاء، إضافة إلى تطبيق أدوات قياس أثر قبلية وبعدية لقياس مستوى التحسن لدى المشاركين وضمان جودة المخرجات.
ثانياً:تم ذلك عبر إطلاق التسجيل، ترشيح المستفيدين، ثم فرزهم وفق مسارات الجائزة المعتمدة مسار التميز ومسار التقدم ، مع تنظيم الحفل الرسمي لتكريم الفائزين وتوزيع الشهادات.
ثالثاً:تم ذلك من خلال بناء قاعدة بيانات للخريجين وتحديد احتياجاتهم التدريبية والمهنية، ثم ربطهم بالدورات المناسبة بالتعاون مع الجهات الشريكة. كما نُفذت دورة المقابلات الوظيفية استجابةً لاحتياج الخريجين وتهيئتهم قبل المقابلات الوظيفية مع شركة مخازن العناية.
رابعاً:تم ذلك من خلال التحقق من استحقاق الحالة وفق شروط لائحة التعليم، وطلب المرفقات اللازمة ، ثم رفعها للإدارة لاعتمادها واستكمال إجراءات السداد.مؤشر عدد المستفيدين الذين تم تأهيلهم</v>
      </c>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row>
    <row r="6" spans="1:80" s="118" customFormat="1" ht="48">
      <c r="A6" s="109" t="s">
        <v>42</v>
      </c>
      <c r="B6" s="109" t="s">
        <v>50</v>
      </c>
      <c r="C6" s="110" t="s">
        <v>51</v>
      </c>
      <c r="D6" s="110" t="s">
        <v>28</v>
      </c>
      <c r="E6" s="109" t="s">
        <v>52</v>
      </c>
      <c r="F6" s="109" t="s">
        <v>30</v>
      </c>
      <c r="G6" s="109" t="s">
        <v>31</v>
      </c>
      <c r="H6" s="109" t="s">
        <v>53</v>
      </c>
      <c r="I6" s="109" t="s">
        <v>33</v>
      </c>
      <c r="J6" s="109">
        <v>0</v>
      </c>
      <c r="K6" s="111">
        <v>50</v>
      </c>
      <c r="L6" s="112">
        <v>5</v>
      </c>
      <c r="M6" s="111">
        <v>5</v>
      </c>
      <c r="N6" s="113" t="str">
        <f t="shared" si="0"/>
        <v/>
      </c>
      <c r="O6" s="114" t="str">
        <f t="shared" si="1"/>
        <v/>
      </c>
      <c r="P6" s="113" t="str">
        <f t="shared" si="2"/>
        <v/>
      </c>
      <c r="Q6" s="110" t="s">
        <v>54</v>
      </c>
      <c r="R6" s="110" t="s">
        <v>55</v>
      </c>
      <c r="S6" s="228" t="s">
        <v>56</v>
      </c>
      <c r="T6" s="110"/>
      <c r="U6" s="110"/>
      <c r="V6" s="116" t="str">
        <f t="shared" si="5"/>
        <v/>
      </c>
      <c r="W6" s="116" t="str">
        <f>IF(AND($T6="معتمد",$K6&gt;0),(IF($T6="معتمد",$M6,0))/$K6,"")</f>
        <v/>
      </c>
      <c r="X6" s="106" t="str">
        <f t="shared" si="4"/>
        <v>ع2ع2-2عدد الأفراد الذين استغنوا عن خدمات الجمعيةاستراتيجيأسرةكلما زاد كان أفضلربع سنويقائمة بمستفيدي الجمعية  و الأفراد الذين استغنوا عن خدمات الجمعيةإدارة الرعاية و التمكين05055تم توظيف خمسة من الخريجين في عدد من الجهات في القطاع الخاص، حيث  التحقت خريجتان بالعمل في شركة حلول أتمال ، وخريجة واحدة في مجمع الفيحاء الطبي، خريج واحد في مدارس الخير الأهلية، وخريج في شركة أمني المتحدة للحراسات الأمنية .تم العمل مع الخريجين على تحسين جاهزيتهم لسوق العمل من خلال إعداد السير الذاتية وإلحاقهم بعدد من الدورات التطويرية، إضافة إلى متابعتهم في البحث عن فرص العمل وترشيح المناسب منها، حتى تم قبولهم والتحاقهم بالعمل.مؤشر عدد الأفراد الذين استغنوا عن خدمات الجمعية</v>
      </c>
    </row>
    <row r="7" spans="1:80" s="118" customFormat="1" ht="15.75">
      <c r="A7" s="99" t="s">
        <v>57</v>
      </c>
      <c r="B7" s="99" t="s">
        <v>58</v>
      </c>
      <c r="C7" s="100" t="s">
        <v>59</v>
      </c>
      <c r="D7" s="100" t="s">
        <v>28</v>
      </c>
      <c r="E7" s="99" t="s">
        <v>60</v>
      </c>
      <c r="F7" s="99" t="s">
        <v>30</v>
      </c>
      <c r="G7" s="99" t="s">
        <v>31</v>
      </c>
      <c r="H7" s="99" t="s">
        <v>61</v>
      </c>
      <c r="I7" s="99" t="s">
        <v>62</v>
      </c>
      <c r="J7" s="99">
        <v>0</v>
      </c>
      <c r="K7" s="119">
        <v>7</v>
      </c>
      <c r="L7" s="120">
        <v>0</v>
      </c>
      <c r="M7" s="119"/>
      <c r="N7" s="103" t="str">
        <f t="shared" si="0"/>
        <v/>
      </c>
      <c r="O7" s="121" t="str">
        <f t="shared" si="1"/>
        <v/>
      </c>
      <c r="P7" s="122" t="str">
        <f t="shared" si="2"/>
        <v/>
      </c>
      <c r="Q7" s="123"/>
      <c r="R7" s="123"/>
      <c r="S7" s="123"/>
      <c r="T7" s="123"/>
      <c r="U7" s="123"/>
      <c r="V7" s="105" t="str">
        <f t="shared" si="5"/>
        <v/>
      </c>
      <c r="W7" s="105" t="str">
        <f t="shared" si="3"/>
        <v/>
      </c>
      <c r="X7" s="106" t="str">
        <f t="shared" si="4"/>
        <v>ع3ع1-3عدد المبادرات المنفذة لحماية الأسر من مسببات الفقراستراتيجيمبادرةكلما زاد كان أفضلربع سنويتقرير بالمبادرات المنفذة لحماية الأسر من مسببات الفقرإدارة التكافل المجتمعي070</v>
      </c>
    </row>
    <row r="8" spans="1:80" s="118" customFormat="1" ht="15.75">
      <c r="A8" s="109" t="s">
        <v>57</v>
      </c>
      <c r="B8" s="109" t="s">
        <v>63</v>
      </c>
      <c r="C8" s="110" t="s">
        <v>64</v>
      </c>
      <c r="D8" s="110" t="s">
        <v>28</v>
      </c>
      <c r="E8" s="109" t="s">
        <v>45</v>
      </c>
      <c r="F8" s="109" t="s">
        <v>30</v>
      </c>
      <c r="G8" s="109" t="s">
        <v>31</v>
      </c>
      <c r="H8" s="109" t="s">
        <v>65</v>
      </c>
      <c r="I8" s="109" t="s">
        <v>62</v>
      </c>
      <c r="J8" s="109">
        <v>0</v>
      </c>
      <c r="K8" s="124">
        <v>40000</v>
      </c>
      <c r="L8" s="125">
        <v>11000</v>
      </c>
      <c r="M8" s="124"/>
      <c r="N8" s="113" t="str">
        <f t="shared" si="0"/>
        <v/>
      </c>
      <c r="O8" s="126" t="str">
        <f t="shared" si="1"/>
        <v/>
      </c>
      <c r="P8" s="127" t="str">
        <f t="shared" si="2"/>
        <v/>
      </c>
      <c r="Q8" s="128"/>
      <c r="R8" s="128"/>
      <c r="S8" s="128"/>
      <c r="T8" s="128"/>
      <c r="U8" s="128"/>
      <c r="V8" s="116" t="str">
        <f t="shared" si="5"/>
        <v/>
      </c>
      <c r="W8" s="116" t="str">
        <f t="shared" si="3"/>
        <v/>
      </c>
      <c r="X8" s="106" t="str">
        <f t="shared" si="4"/>
        <v>ع3ع2-3عدد المستفيدين من المبادرات استراتيجيمستفيدكلما زاد كان أفضلربع سنويتقرير بالمبادرات المنفذة لحماية الأسر من مسببات الفقر، ونوعها وعدد المستفيدين في كل مبادرةإدارة التكافل المجتمعي04000011000</v>
      </c>
      <c r="AC8" s="42" t="s">
        <v>1</v>
      </c>
      <c r="AD8" s="42" t="s">
        <v>2</v>
      </c>
      <c r="AE8" s="42" t="s">
        <v>66</v>
      </c>
      <c r="AF8" s="42" t="s">
        <v>4</v>
      </c>
      <c r="AG8" s="42" t="s">
        <v>5</v>
      </c>
      <c r="AH8" s="42" t="s">
        <v>6</v>
      </c>
      <c r="AI8" s="42" t="s">
        <v>7</v>
      </c>
      <c r="AJ8" s="42" t="s">
        <v>8</v>
      </c>
      <c r="AK8" s="42" t="s">
        <v>9</v>
      </c>
      <c r="AL8" s="42" t="s">
        <v>10</v>
      </c>
      <c r="AM8" s="43" t="s">
        <v>11</v>
      </c>
      <c r="AN8" s="42" t="s">
        <v>12</v>
      </c>
      <c r="AO8" s="43" t="s">
        <v>13</v>
      </c>
      <c r="AP8" s="43" t="s">
        <v>67</v>
      </c>
      <c r="AQ8" s="45" t="s">
        <v>68</v>
      </c>
      <c r="AR8" s="46" t="s">
        <v>69</v>
      </c>
      <c r="AS8" s="42" t="s">
        <v>70</v>
      </c>
      <c r="AT8" s="42" t="s">
        <v>71</v>
      </c>
      <c r="AU8" s="42" t="s">
        <v>72</v>
      </c>
      <c r="AV8" s="42" t="s">
        <v>20</v>
      </c>
      <c r="AW8" s="47" t="s">
        <v>21</v>
      </c>
      <c r="AX8" s="48" t="s">
        <v>22</v>
      </c>
    </row>
    <row r="9" spans="1:80" s="118" customFormat="1" ht="144">
      <c r="A9" s="99" t="s">
        <v>73</v>
      </c>
      <c r="B9" s="99" t="s">
        <v>74</v>
      </c>
      <c r="C9" s="100" t="s">
        <v>75</v>
      </c>
      <c r="D9" s="100" t="s">
        <v>28</v>
      </c>
      <c r="E9" s="99" t="s">
        <v>76</v>
      </c>
      <c r="F9" s="99" t="s">
        <v>30</v>
      </c>
      <c r="G9" s="99" t="s">
        <v>31</v>
      </c>
      <c r="H9" s="99" t="s">
        <v>77</v>
      </c>
      <c r="I9" s="99" t="s">
        <v>62</v>
      </c>
      <c r="J9" s="99">
        <v>0</v>
      </c>
      <c r="K9" s="101">
        <v>7</v>
      </c>
      <c r="L9" s="117">
        <v>0</v>
      </c>
      <c r="M9" s="101">
        <v>5</v>
      </c>
      <c r="N9" s="103" t="str">
        <f t="shared" si="0"/>
        <v/>
      </c>
      <c r="O9" s="104" t="str">
        <f t="shared" si="1"/>
        <v/>
      </c>
      <c r="P9" s="103" t="str">
        <f t="shared" si="2"/>
        <v/>
      </c>
      <c r="Q9" s="100" t="s">
        <v>78</v>
      </c>
      <c r="R9" s="100" t="s">
        <v>79</v>
      </c>
      <c r="S9" s="232" t="s">
        <v>80</v>
      </c>
      <c r="T9" s="100"/>
      <c r="U9" s="100"/>
      <c r="V9" s="105" t="str">
        <f t="shared" si="5"/>
        <v/>
      </c>
      <c r="W9" s="105" t="str">
        <f>IF(AND($T9="معتمد",$K9&gt;0),(IF($T9="معتمد",$M9,0))/$K9,"")</f>
        <v/>
      </c>
      <c r="X9" s="106" t="str">
        <f t="shared" si="4"/>
        <v>ع4ع1-4عدد مشاريع المشاركة المجتمعية التي نفذتها الجمعيةاستراتيجيمشروعكلما زاد كان أفضلربع سنويقائمة ببرامج المشاركة المجتمعية المنفذةإدارة التكافل المجتمعي0705تم خلال الربع الأول تنفيذ خمسة مشاريع نوعية (الإفطار السيار، زكاة الفطر، ابتلت العروق، إفطار أهالي القصيم، مبادرة الحي المتكافل)، حيث تم توزيع وجبات إفطار صائم عبر منافذ متعددة في الطرق والإشارات والمواقع الحيوية، إضافة إلى تقديم الإفطار في مخيم أهالي القصيم كجزء من نطاق المشروع، مما ساهم في خدمة شريحة واسعة من المستفيدين.
كما تم جمع وتوزيع زكاة الفطر على المستحقين في الوقت الشرعي، مع تحقيق وصولها للفئات المستحقة بكفاءة. وفي جانب التكافل المجتمعي، تم ربط الأسر المتكافلة بالأسر المستفيدة لتوفير وجبات الإفطار، إضافة إلى إشراك المطاعم في دعم الأسر المحتاجة، مما عزز الأثر الاجتماعي ووسّع دائرة المستفيدين.تم تحقيق ذلك من خلال التخطيط المسبق وإعداد خطط تشغيلية واضحة لكل مشروع، مع تنظيم فرق العمل وتوزيع الأدوار بشكل دقيق، وتشغيل منافذ ونقاط توزيع ميدانية متعددة وفق آلية منظمة.
كما تم تنفيذ العمل عبر عدة مسارات تكاملية، شملت: إدارة مواقع التوزيع، تجهيز مخيمات الإفطار، تنظيم عمليات استلام وتخزين وتوزيع زكاة الفطر، والتنسيق بين الأسر المتبرعة والأسر المستفيدة مع نقل الوجبات عبر المتطوعين، إضافة إلى بناء شراكات مع المطاعم لدعم الأسر المحتاجة.
وقد دعمت هذه الجهود بمتابعة ميدانية مستمرة، وتنسيق فعّال مع الجهات المشاركة، مما أسهم في رفع جودة التنفيذ وتحقيق المستهدفات بكفاءة عاليةhttps://alzaadsa-my.sharepoint.com/:f:/g/personal/pmo_alzaad_org_sa/IgDvFW9U-8gJTKea7hCXZCtxASzaXIeOtAqarTli4uSIAjc?e=kL9T17</v>
      </c>
      <c r="AB9" s="118" t="e">
        <f t="array" ref="AB9:AX9">_xlfn._xlws.FILTER(الجدول4[],ISNUMBER(SEARCH(AA3,#REF!)),"غير موجود")</f>
        <v>#VALUE!</v>
      </c>
      <c r="AC9" s="118" t="e">
        <v>#VALUE!</v>
      </c>
      <c r="AD9" s="118" t="e">
        <v>#VALUE!</v>
      </c>
      <c r="AE9" s="118" t="e">
        <v>#VALUE!</v>
      </c>
      <c r="AF9" s="118" t="e">
        <v>#VALUE!</v>
      </c>
      <c r="AG9" s="118" t="e">
        <v>#VALUE!</v>
      </c>
      <c r="AH9" s="118" t="e">
        <v>#VALUE!</v>
      </c>
      <c r="AI9" s="118" t="e">
        <v>#VALUE!</v>
      </c>
      <c r="AJ9" s="118" t="e">
        <v>#VALUE!</v>
      </c>
      <c r="AK9" s="118" t="e">
        <v>#VALUE!</v>
      </c>
      <c r="AL9" s="118" t="e">
        <v>#VALUE!</v>
      </c>
      <c r="AM9" s="118" t="e">
        <v>#VALUE!</v>
      </c>
      <c r="AN9" s="118" t="e">
        <v>#VALUE!</v>
      </c>
      <c r="AO9" s="118" t="e">
        <v>#VALUE!</v>
      </c>
      <c r="AP9" s="118" t="e">
        <v>#VALUE!</v>
      </c>
      <c r="AQ9" s="118" t="e">
        <v>#VALUE!</v>
      </c>
      <c r="AR9" s="118" t="e">
        <v>#VALUE!</v>
      </c>
      <c r="AS9" s="118" t="e">
        <v>#VALUE!</v>
      </c>
      <c r="AT9" s="118" t="e">
        <v>#VALUE!</v>
      </c>
      <c r="AU9" s="118" t="e">
        <v>#VALUE!</v>
      </c>
      <c r="AV9" s="118" t="e">
        <v>#VALUE!</v>
      </c>
      <c r="AW9" s="118" t="e">
        <v>#VALUE!</v>
      </c>
      <c r="AX9" s="118" t="e">
        <v>#VALUE!</v>
      </c>
      <c r="AY9" s="118" t="s">
        <v>81</v>
      </c>
    </row>
    <row r="10" spans="1:80" s="118" customFormat="1" ht="255.75">
      <c r="A10" s="109" t="s">
        <v>82</v>
      </c>
      <c r="B10" s="109" t="s">
        <v>83</v>
      </c>
      <c r="C10" s="110" t="s">
        <v>84</v>
      </c>
      <c r="D10" s="110" t="s">
        <v>28</v>
      </c>
      <c r="E10" s="109" t="s">
        <v>85</v>
      </c>
      <c r="F10" s="109" t="s">
        <v>30</v>
      </c>
      <c r="G10" s="109" t="s">
        <v>31</v>
      </c>
      <c r="H10" s="109" t="s">
        <v>86</v>
      </c>
      <c r="I10" s="109" t="s">
        <v>62</v>
      </c>
      <c r="J10" s="109">
        <v>0</v>
      </c>
      <c r="K10" s="111">
        <v>70000</v>
      </c>
      <c r="L10" s="112">
        <v>20000</v>
      </c>
      <c r="M10" s="111">
        <v>33205</v>
      </c>
      <c r="N10" s="113" t="str">
        <f t="shared" si="0"/>
        <v/>
      </c>
      <c r="O10" s="114" t="str">
        <f t="shared" si="1"/>
        <v/>
      </c>
      <c r="P10" s="113" t="str">
        <f t="shared" si="2"/>
        <v/>
      </c>
      <c r="Q10" s="110" t="s">
        <v>87</v>
      </c>
      <c r="R10" s="110" t="s">
        <v>88</v>
      </c>
      <c r="S10" s="231" t="s">
        <v>89</v>
      </c>
      <c r="T10" s="110"/>
      <c r="U10" s="110"/>
      <c r="V10" s="116" t="str">
        <f t="shared" si="5"/>
        <v/>
      </c>
      <c r="W10" s="116" t="str">
        <f t="shared" si="3"/>
        <v/>
      </c>
      <c r="X10" s="106" t="str">
        <f t="shared" si="4"/>
        <v xml:space="preserve"> ع2-4عدد المشاركين من المجتمع في برامج المشاركة المجتمعيةاستراتيجيمشارككلما زاد كان أفضلربع سنويقائمة ببرامج المشاركة المجتمعية المنفذة وعدد المشاركينإدارة التكافل المجتمعي0700002000033205شهدت مشاريع الربع الأول (زكاة الفطر، الإفطار السيار، ابتلت العروق، إفطار أهالي القصيم، مبادرة الحي المتكافل) مشاركة مجتمعية واسعة ومتنوعة، حيث أسهم في تنفيذها عدد كبير من المشاركين من فئات مختلفة.
شملت هذه المشاركة:
	•	المتطوعين: الذين شاركوا في جميع المشاريع، خصوصًا في التشغيل الميداني والتنظيم والتوزيع.
	•	المزكّين: الذين أسهموا في مشروع زكاة الفطر من خلال إخراج زكواتهم عبر المنظومة.
	•	الأسر المتكافلة: التي شاركت في مشروع ابتلت العروق عبر تقديم وجبات الإفطار للأسر المستفيدة.
	•	أفراد المجتمع: الذين أسهموا بجهود مباشرة أو غير مباشرة في دعم وتنفيذ المبادرات.
وقد انعكس هذا التنوع في المشاركين على تعزيز روح التكافل المجتمعي، ورفع مستوى التفاعل مع المشاريع، وزيادة أثرها وانتشارهاتحقق هذا المستوى من المشاركة من خلال:
	•	نشر الفرص وإتاحتها بوضوح: الإعلان عن المشاريع والفرص عبر القنوات الإعلامية، من خلال نشر المنشورات التعريفية والتوعوية التي عرّفت بالمبادرات وآليات المشاركة فيها.
	•	تفعيل الحملات الإعلامية: الاستمرار في نشر المحتوى المرتبط بالمشاريع، مما ساهم في رفع الوعي وتحفيز المجتمع على الانخراط.
	•	تيسير الوصول للفرص: إتاحة فرص التطوع والعمل المجتمعي والتكافل بشكل واضح ومنظم، بحيث يستطيع الفرد اختيار المسار المناسب له (متطوع، مزكّي، أسرة متكافلة).
	•	تنوع مجالات المشاركة: تصميم المشاريع بحيث تشمل مجالات متعددة (ميدانية، مالية، تكافلية)، مما جذب شرائح مختلفة من المجتمع.
	•	تعزيز مفهوم التكافل: إبراز نماذج المشاركة المجتمعية (مثل الأسر المتكافلة)، مما شجّع الآخرين على التفاعل والمساهمة.
	•	التنظيم والمتابعة: إدارة المشاركين بآلية واضحة، مع متابعة مستمرة لضمان استمرارية المشاركة وجودتهاhttps://alzaadsa-my.sharepoint.com/:f:/g/personal/pmo_alzaad_org_sa/IgCDUBH8AxwnR5n1t-a_pKQnAaAUFpeqYxzm1efcwfylJlc?e=zq4J83</v>
      </c>
    </row>
    <row r="11" spans="1:80" s="118" customFormat="1" ht="91.5">
      <c r="A11" s="99" t="s">
        <v>90</v>
      </c>
      <c r="B11" s="99" t="s">
        <v>91</v>
      </c>
      <c r="C11" s="100" t="s">
        <v>92</v>
      </c>
      <c r="D11" s="100" t="s">
        <v>28</v>
      </c>
      <c r="E11" s="99" t="s">
        <v>29</v>
      </c>
      <c r="F11" s="99" t="s">
        <v>30</v>
      </c>
      <c r="G11" s="99" t="s">
        <v>31</v>
      </c>
      <c r="H11" s="99" t="s">
        <v>93</v>
      </c>
      <c r="I11" s="99" t="s">
        <v>94</v>
      </c>
      <c r="J11" s="99">
        <v>0</v>
      </c>
      <c r="K11" s="193">
        <v>1500000</v>
      </c>
      <c r="L11" s="197">
        <v>300000</v>
      </c>
      <c r="M11" s="101">
        <v>175718.91</v>
      </c>
      <c r="N11" s="103" t="str">
        <f t="shared" si="0"/>
        <v/>
      </c>
      <c r="O11" s="104" t="str">
        <f t="shared" si="1"/>
        <v/>
      </c>
      <c r="P11" s="103" t="str">
        <f t="shared" si="2"/>
        <v/>
      </c>
      <c r="Q11" s="100" t="s">
        <v>95</v>
      </c>
      <c r="R11" s="100" t="s">
        <v>96</v>
      </c>
      <c r="S11" s="232" t="s">
        <v>97</v>
      </c>
      <c r="T11" s="100"/>
      <c r="U11" s="100"/>
      <c r="V11" s="105" t="str">
        <f t="shared" si="5"/>
        <v/>
      </c>
      <c r="W11" s="105" t="str">
        <f t="shared" si="3"/>
        <v/>
      </c>
      <c r="X11" s="106" t="str">
        <f t="shared" si="4"/>
        <v>م1م1-1صافي أرباح المصادر الثابتةاستراتيجيريالكلما زاد كان أفضلربع سنويتقرير مالي بالإيرادات والمصروفات المالية للجمعيةإدارة الشؤون المالية و الإدارية01500000300000175718.91تحصيل إدارة االأملاك  من قبل المستأجرين مقابل استئجارهم أعمال ترميم طارئة لعقار وقف المنتزه بقيمة (86,250 ريال)
متأخرات (68,500) 
https://alzaadsa-my.sharepoint.com/:f:/g/personal/pmo_alzaad_org_sa/IgB58WHETVQ_Q4DgceOIZzkCAQUMWuQqZPxBrs7NtLkrCWk?e=dMWBUU</v>
      </c>
    </row>
    <row r="12" spans="1:80" s="118" customFormat="1" ht="15.75">
      <c r="A12" s="109" t="s">
        <v>90</v>
      </c>
      <c r="B12" s="109" t="s">
        <v>98</v>
      </c>
      <c r="C12" s="110" t="s">
        <v>99</v>
      </c>
      <c r="D12" s="110" t="s">
        <v>28</v>
      </c>
      <c r="E12" s="109" t="s">
        <v>29</v>
      </c>
      <c r="F12" s="109" t="s">
        <v>30</v>
      </c>
      <c r="G12" s="109" t="s">
        <v>31</v>
      </c>
      <c r="H12" s="109" t="s">
        <v>100</v>
      </c>
      <c r="I12" s="109" t="s">
        <v>101</v>
      </c>
      <c r="J12" s="109">
        <v>0</v>
      </c>
      <c r="K12" s="194">
        <v>10350000</v>
      </c>
      <c r="L12" s="198">
        <v>0</v>
      </c>
      <c r="M12" s="111"/>
      <c r="N12" s="113" t="str">
        <f t="shared" si="0"/>
        <v/>
      </c>
      <c r="O12" s="114" t="str">
        <f t="shared" si="1"/>
        <v/>
      </c>
      <c r="P12" s="113" t="str">
        <f t="shared" si="2"/>
        <v/>
      </c>
      <c r="Q12" s="130"/>
      <c r="R12" s="130"/>
      <c r="S12" s="130"/>
      <c r="T12" s="130"/>
      <c r="U12" s="130"/>
      <c r="V12" s="116" t="str">
        <f t="shared" si="5"/>
        <v/>
      </c>
      <c r="W12" s="116" t="str">
        <f t="shared" si="3"/>
        <v/>
      </c>
      <c r="X12" s="106" t="str">
        <f t="shared" si="4"/>
        <v>م1م2-1صافي أرباح الاستثماراتاستراتيجيريالكلما زاد كان أفضلربع سنويتقرير بإيرادات ومصروفات الإستثمارات الماليةإدارة الإستدامة0103500000</v>
      </c>
    </row>
    <row r="13" spans="1:80" s="118" customFormat="1" ht="15.75">
      <c r="A13" s="99" t="s">
        <v>102</v>
      </c>
      <c r="B13" s="99" t="s">
        <v>103</v>
      </c>
      <c r="C13" s="100" t="s">
        <v>104</v>
      </c>
      <c r="D13" s="100" t="s">
        <v>28</v>
      </c>
      <c r="E13" s="99" t="s">
        <v>105</v>
      </c>
      <c r="F13" s="99" t="s">
        <v>30</v>
      </c>
      <c r="G13" s="99" t="s">
        <v>31</v>
      </c>
      <c r="H13" s="99" t="s">
        <v>106</v>
      </c>
      <c r="I13" s="99" t="s">
        <v>107</v>
      </c>
      <c r="J13" s="99">
        <v>0</v>
      </c>
      <c r="K13" s="101">
        <v>1</v>
      </c>
      <c r="L13" s="117">
        <v>0</v>
      </c>
      <c r="M13" s="101">
        <v>0</v>
      </c>
      <c r="N13" s="103" t="str">
        <f t="shared" si="0"/>
        <v/>
      </c>
      <c r="O13" s="104" t="str">
        <f t="shared" si="1"/>
        <v/>
      </c>
      <c r="P13" s="103" t="str">
        <f t="shared" si="2"/>
        <v/>
      </c>
      <c r="Q13" s="100" t="s">
        <v>108</v>
      </c>
      <c r="R13" s="100" t="s">
        <v>108</v>
      </c>
      <c r="S13" s="100"/>
      <c r="T13" s="100"/>
      <c r="U13" s="100"/>
      <c r="V13" s="105" t="str">
        <f t="shared" si="5"/>
        <v/>
      </c>
      <c r="W13" s="105" t="str">
        <f t="shared" si="3"/>
        <v/>
      </c>
      <c r="X13" s="106" t="str">
        <f t="shared" si="4"/>
        <v>م2م1-2عدد مصادر الدخل (الجديدة)استراتيجيمصدر دخلكلما زاد كان أفضلربع سنويتقرير بمصادر الدخل الجديدة وإيراداتهاإدارة الإتصال المؤسسي0100لا يوجد لهذا الربعلا يوجد لهذا الربع</v>
      </c>
    </row>
    <row r="14" spans="1:80" s="118" customFormat="1" ht="15.75">
      <c r="A14" s="109" t="s">
        <v>102</v>
      </c>
      <c r="B14" s="109" t="s">
        <v>109</v>
      </c>
      <c r="C14" s="110" t="s">
        <v>110</v>
      </c>
      <c r="D14" s="110" t="s">
        <v>28</v>
      </c>
      <c r="E14" s="109" t="s">
        <v>29</v>
      </c>
      <c r="F14" s="109" t="s">
        <v>30</v>
      </c>
      <c r="G14" s="109" t="s">
        <v>31</v>
      </c>
      <c r="H14" s="109" t="s">
        <v>111</v>
      </c>
      <c r="I14" s="109" t="s">
        <v>107</v>
      </c>
      <c r="J14" s="109">
        <v>0</v>
      </c>
      <c r="K14" s="194">
        <v>50000</v>
      </c>
      <c r="L14" s="199">
        <v>0</v>
      </c>
      <c r="M14" s="111">
        <v>0</v>
      </c>
      <c r="N14" s="113" t="str">
        <f t="shared" si="0"/>
        <v/>
      </c>
      <c r="O14" s="114" t="str">
        <f t="shared" si="1"/>
        <v/>
      </c>
      <c r="P14" s="113" t="str">
        <f t="shared" si="2"/>
        <v/>
      </c>
      <c r="Q14" s="110" t="s">
        <v>108</v>
      </c>
      <c r="R14" s="110" t="s">
        <v>108</v>
      </c>
      <c r="S14" s="110"/>
      <c r="T14" s="110"/>
      <c r="U14" s="110"/>
      <c r="V14" s="116" t="str">
        <f t="shared" si="5"/>
        <v/>
      </c>
      <c r="W14" s="116" t="str">
        <f t="shared" si="3"/>
        <v/>
      </c>
      <c r="X14" s="106" t="str">
        <f t="shared" si="4"/>
        <v>م2م2-2إجمالي الإيرادات من مصادر الدخل الجديدةاستراتيجيريالكلما زاد كان أفضلربع سنويتقرير مالي بالإيرادات المالية للجمعيةإدارة الإتصال المؤسسي05000000لا يوجد لهذا الربعلا يوجد لهذا الربع</v>
      </c>
    </row>
    <row r="15" spans="1:80" s="118" customFormat="1" ht="15.75">
      <c r="A15" s="99" t="s">
        <v>102</v>
      </c>
      <c r="B15" s="99" t="s">
        <v>112</v>
      </c>
      <c r="C15" s="100" t="s">
        <v>113</v>
      </c>
      <c r="D15" s="100" t="s">
        <v>28</v>
      </c>
      <c r="E15" s="99" t="s">
        <v>29</v>
      </c>
      <c r="F15" s="99" t="s">
        <v>30</v>
      </c>
      <c r="G15" s="99" t="s">
        <v>31</v>
      </c>
      <c r="H15" s="99" t="s">
        <v>114</v>
      </c>
      <c r="I15" s="99" t="s">
        <v>107</v>
      </c>
      <c r="J15" s="99">
        <v>0</v>
      </c>
      <c r="K15" s="195">
        <v>0</v>
      </c>
      <c r="L15" s="197">
        <v>0</v>
      </c>
      <c r="M15" s="131"/>
      <c r="N15" s="103" t="str">
        <f t="shared" si="0"/>
        <v/>
      </c>
      <c r="O15" s="132" t="str">
        <f t="shared" si="1"/>
        <v/>
      </c>
      <c r="P15" s="133" t="str">
        <f t="shared" si="2"/>
        <v/>
      </c>
      <c r="Q15" s="99" t="s">
        <v>115</v>
      </c>
      <c r="R15" s="99" t="s">
        <v>115</v>
      </c>
      <c r="S15" s="99"/>
      <c r="T15" s="99"/>
      <c r="U15" s="99"/>
      <c r="V15" s="105" t="str">
        <f t="shared" si="5"/>
        <v/>
      </c>
      <c r="W15" s="105" t="str">
        <f t="shared" si="3"/>
        <v/>
      </c>
      <c r="X15" s="106" t="str">
        <f t="shared" si="4"/>
        <v>م2م3-2إجمالي التبرعاتاستراتيجيريالكلما زاد كان أفضلربع سنويتقرير مالي بالتبرعات في الفترة الحالية والفترة السابقةإدارة الإتصال المؤسسي000الماليةالمالية</v>
      </c>
    </row>
    <row r="16" spans="1:80" s="118" customFormat="1" ht="111.75">
      <c r="A16" s="109" t="s">
        <v>116</v>
      </c>
      <c r="B16" s="109" t="s">
        <v>117</v>
      </c>
      <c r="C16" s="110" t="s">
        <v>118</v>
      </c>
      <c r="D16" s="110" t="s">
        <v>28</v>
      </c>
      <c r="E16" s="109" t="s">
        <v>119</v>
      </c>
      <c r="F16" s="109" t="s">
        <v>30</v>
      </c>
      <c r="G16" s="109" t="s">
        <v>31</v>
      </c>
      <c r="H16" s="109" t="s">
        <v>120</v>
      </c>
      <c r="I16" s="109" t="s">
        <v>121</v>
      </c>
      <c r="J16" s="109">
        <v>0</v>
      </c>
      <c r="K16" s="134">
        <v>14</v>
      </c>
      <c r="L16" s="129">
        <v>5</v>
      </c>
      <c r="M16" s="134">
        <v>2</v>
      </c>
      <c r="N16" s="113" t="str">
        <f t="shared" si="0"/>
        <v/>
      </c>
      <c r="O16" s="135" t="str">
        <f t="shared" si="1"/>
        <v/>
      </c>
      <c r="P16" s="136" t="str">
        <f t="shared" si="2"/>
        <v/>
      </c>
      <c r="Q16" s="140" t="s">
        <v>122</v>
      </c>
      <c r="R16" s="140" t="s">
        <v>123</v>
      </c>
      <c r="S16" s="229" t="s">
        <v>124</v>
      </c>
      <c r="T16" s="109"/>
      <c r="U16" s="109"/>
      <c r="V16" s="116" t="str">
        <f t="shared" si="5"/>
        <v/>
      </c>
      <c r="W16" s="116" t="str">
        <f t="shared" si="3"/>
        <v/>
      </c>
      <c r="X16" s="106" t="str">
        <f t="shared" si="4"/>
        <v>د1د1-1عدد البرامج المبتكرة التي تم  تصميمهااستراتيجيبرامجكلما زاد كان أفضلربع سنويقائمة بالبرامج التي صممتها الجمعيةإدارة الرعاية و التمكين،إدارة التكافل المجتمعي01452أولاً:تم العمل على برنامج مسيرة التعليم كبرنامج مبتكر يهدف إلى اكتشاف مهارات ومواهب الأبناء من الأسر المستفيدة، حيث تم بناء وثيقة المشروع و اختيار مرشد مهني مناسب ، كما تم حصر الطلاب الموهوبين وإعداد ملفات إنجاز خاصة بهم تمهيدًا لتنمية مهاراتهم واستثمارها.
ثانياً:تم العمل على إعداد وثيقة المشروع وخطة تنفيذية متكاملة لإقامة عيد الزاد بطريقة مبتكرة خلال هذا العام ، كما تم ربط عدد ( 30 ) اسرة من الاسر المستفيدة في الافطار الرمضاني لـــ مركز سواعد و أفكار للتدريب .اولاً:تم ذلك بدءًا من دراسة الاحتياج السنوي، ثم حصر الأبناء الذين لديهم مؤشرات للموهبة من خلال استبيانات مخصصة، تلاها التواصل مع كل موهوب وبناء ملف إنجاز خاص به يتضمن معلوماته ومجالات موهبته. كما عُقدت عدة اجتماعات مع عدد من المرشدين المهنيين لاختيار المرشد المناسب لتنفيذ البرنامج ودعم الأبناء في اكتشاف مهاراتهم وتنميتها.
ثانياً:تم بناء وثيقة المشروع من خلال تحديد الأهداف والمخرجات والأنشطة، وجمع البيانات اللازمة، كما تم إعداد خطة تنفيذية متكاملة للقاء عيد الزاد تضمنت تحديد الفئة المستهدفة، والبرامج المصاحبة، والاحتياجات اللوجستية، واختيار القاعات المناسبة، بما يضمن تنفيذ اللقاء بطريقة مبتكرة.مؤشر عدد البرامج المبتكرة التي تم تصميمها</v>
      </c>
    </row>
    <row r="17" spans="1:24" s="118" customFormat="1" ht="64.5">
      <c r="A17" s="99" t="s">
        <v>116</v>
      </c>
      <c r="B17" s="99" t="s">
        <v>125</v>
      </c>
      <c r="C17" s="100" t="s">
        <v>126</v>
      </c>
      <c r="D17" s="100" t="s">
        <v>28</v>
      </c>
      <c r="E17" s="99" t="s">
        <v>127</v>
      </c>
      <c r="F17" s="99" t="s">
        <v>30</v>
      </c>
      <c r="G17" s="99" t="s">
        <v>31</v>
      </c>
      <c r="H17" s="99" t="s">
        <v>128</v>
      </c>
      <c r="I17" s="99" t="s">
        <v>121</v>
      </c>
      <c r="J17" s="99">
        <v>0</v>
      </c>
      <c r="K17" s="131">
        <v>18</v>
      </c>
      <c r="L17" s="120">
        <v>5</v>
      </c>
      <c r="M17" s="131">
        <v>2</v>
      </c>
      <c r="N17" s="103" t="str">
        <f t="shared" si="0"/>
        <v/>
      </c>
      <c r="O17" s="132" t="str">
        <f t="shared" si="1"/>
        <v/>
      </c>
      <c r="P17" s="133" t="str">
        <f t="shared" si="2"/>
        <v/>
      </c>
      <c r="Q17" s="138" t="s">
        <v>129</v>
      </c>
      <c r="R17" s="138" t="s">
        <v>130</v>
      </c>
      <c r="S17" s="228" t="s">
        <v>131</v>
      </c>
      <c r="T17" s="99"/>
      <c r="U17" s="99"/>
      <c r="V17" s="105" t="str">
        <f t="shared" si="5"/>
        <v/>
      </c>
      <c r="W17" s="105" t="str">
        <f t="shared" si="3"/>
        <v/>
      </c>
      <c r="X17" s="106" t="str">
        <f t="shared" si="4"/>
        <v>د1د2-1عدد الخدمات المبتكرة التي تم تصميمهااستراتيجيخدمةكلما زاد كان أفضلربع سنويقائمة بالخدمات التي صممتها الجمعيةإدارة الرعاية و التمكين،إدارة التكافل المجتمعي01852أولاً:تم إطلاق خدمة مبتكرة لربط الخريجين بالمرشد المهني، بهدف متابعة مسارهم التدريبي والمهني بشكل فردي وضمان توافق مهاراتهم مع الفرص المتاحة.
ثانياً:تم اعداد خدمة التقارير الفردية لكل مشترك/ة في برنامج غِراس، والذي تضمن تقييم الحالة قبل و بعد المشاركة و مستوى التحسن و الأثر المتحقق على المشترك/ة.اولاً:تم ذلك من خلال التعاقد مع مرشد مهني متخصص، وحصر الدفعة الأولى من الخريجين بعدد ( 10 )  للربط المباشر بالمرشد، لضمان متابعة مسارهم التدريبي والمهني بشكل فردي وفعّال.
ثانياً:تم ذلك عبر نماذج متابعة تزود للأكاديمات الشريكة و يتم متابعتها من قِبل فريق التمكين لضمان متابعة دقيقة وموثوقة للأثر .مؤشر عدد الخدمات المبتكرة التي تم تصميمها</v>
      </c>
    </row>
    <row r="18" spans="1:24" s="118" customFormat="1" ht="15.75">
      <c r="A18" s="109" t="s">
        <v>132</v>
      </c>
      <c r="B18" s="109" t="s">
        <v>133</v>
      </c>
      <c r="C18" s="110" t="s">
        <v>134</v>
      </c>
      <c r="D18" s="110" t="s">
        <v>28</v>
      </c>
      <c r="E18" s="109" t="s">
        <v>37</v>
      </c>
      <c r="F18" s="109" t="s">
        <v>30</v>
      </c>
      <c r="G18" s="109" t="s">
        <v>31</v>
      </c>
      <c r="H18" s="109" t="s">
        <v>135</v>
      </c>
      <c r="I18" s="109" t="s">
        <v>94</v>
      </c>
      <c r="J18" s="109">
        <v>0</v>
      </c>
      <c r="K18" s="111">
        <v>0.85</v>
      </c>
      <c r="L18" s="200">
        <v>0.8</v>
      </c>
      <c r="M18" s="111"/>
      <c r="N18" s="113" t="str">
        <f t="shared" si="0"/>
        <v/>
      </c>
      <c r="O18" s="114" t="str">
        <f t="shared" si="1"/>
        <v/>
      </c>
      <c r="P18" s="113" t="str">
        <f t="shared" si="2"/>
        <v/>
      </c>
      <c r="Q18" s="115"/>
      <c r="R18" s="115"/>
      <c r="S18" s="115"/>
      <c r="T18" s="115"/>
      <c r="U18" s="115"/>
      <c r="V18" s="116" t="str">
        <f t="shared" si="5"/>
        <v/>
      </c>
      <c r="W18" s="116" t="str">
        <f t="shared" si="3"/>
        <v/>
      </c>
      <c r="X18" s="106" t="str">
        <f t="shared" si="4"/>
        <v>د2د1-2نسبة مصاريف البرامج والأنشطة إلى إجمالي المصاريفاستراتيجينسبةكلما زاد كان أفضلربع سنويتقرير مالي موضح فيه جميع المصروفات (المصروفات الإدارية والعمومية، مصروفات النشاط)إدارة الشؤون المالية و الإدارية00.850.8</v>
      </c>
    </row>
    <row r="19" spans="1:24" s="118" customFormat="1" ht="15.75">
      <c r="A19" s="99" t="s">
        <v>132</v>
      </c>
      <c r="B19" s="99" t="s">
        <v>136</v>
      </c>
      <c r="C19" s="100" t="s">
        <v>137</v>
      </c>
      <c r="D19" s="100" t="s">
        <v>28</v>
      </c>
      <c r="E19" s="99" t="s">
        <v>138</v>
      </c>
      <c r="F19" s="99" t="s">
        <v>30</v>
      </c>
      <c r="G19" s="99" t="s">
        <v>31</v>
      </c>
      <c r="H19" s="99" t="s">
        <v>139</v>
      </c>
      <c r="I19" s="99" t="s">
        <v>140</v>
      </c>
      <c r="J19" s="99">
        <v>0</v>
      </c>
      <c r="K19" s="101">
        <v>1</v>
      </c>
      <c r="L19" s="117">
        <v>0</v>
      </c>
      <c r="M19" s="101"/>
      <c r="N19" s="103" t="str">
        <f t="shared" si="0"/>
        <v/>
      </c>
      <c r="O19" s="104" t="str">
        <f t="shared" si="1"/>
        <v/>
      </c>
      <c r="P19" s="103" t="str">
        <f t="shared" si="2"/>
        <v/>
      </c>
      <c r="Q19" s="137"/>
      <c r="R19" s="137"/>
      <c r="S19" s="137"/>
      <c r="T19" s="137"/>
      <c r="U19" s="137"/>
      <c r="V19" s="105" t="str">
        <f t="shared" si="5"/>
        <v/>
      </c>
      <c r="W19" s="105" t="str">
        <f t="shared" si="3"/>
        <v/>
      </c>
      <c r="X19" s="106" t="str">
        <f t="shared" si="4"/>
        <v>د2د2-2عدد العمليات التي تم تجويدها (تطويرها)استراتيجيعمليةكلما زاد كان أفضلربع سنويقائمة بالعمليات المطورة وبيان التطوير الذي تم عليها وتاريخ التطوير والإعتمادإدارة الشؤون المالية و الإدارية،إدارة الأداء و النمو010</v>
      </c>
    </row>
    <row r="20" spans="1:24" s="118" customFormat="1" ht="15.75">
      <c r="A20" s="109" t="s">
        <v>141</v>
      </c>
      <c r="B20" s="109" t="s">
        <v>142</v>
      </c>
      <c r="C20" s="110" t="s">
        <v>143</v>
      </c>
      <c r="D20" s="110" t="s">
        <v>28</v>
      </c>
      <c r="E20" s="109" t="s">
        <v>37</v>
      </c>
      <c r="F20" s="109" t="s">
        <v>30</v>
      </c>
      <c r="G20" s="109" t="s">
        <v>31</v>
      </c>
      <c r="H20" s="109" t="s">
        <v>144</v>
      </c>
      <c r="I20" s="109" t="s">
        <v>94</v>
      </c>
      <c r="J20" s="109">
        <v>0</v>
      </c>
      <c r="K20" s="111">
        <v>1</v>
      </c>
      <c r="L20" s="200">
        <v>0.95</v>
      </c>
      <c r="M20" s="111"/>
      <c r="N20" s="113" t="str">
        <f t="shared" si="0"/>
        <v/>
      </c>
      <c r="O20" s="114" t="str">
        <f t="shared" si="1"/>
        <v/>
      </c>
      <c r="P20" s="113" t="str">
        <f t="shared" si="2"/>
        <v/>
      </c>
      <c r="Q20" s="115"/>
      <c r="R20" s="115"/>
      <c r="S20" s="115"/>
      <c r="T20" s="115"/>
      <c r="U20" s="115"/>
      <c r="V20" s="116" t="str">
        <f t="shared" si="5"/>
        <v/>
      </c>
      <c r="W20" s="116" t="str">
        <f t="shared" si="3"/>
        <v/>
      </c>
      <c r="X20" s="106" t="str">
        <f t="shared" si="4"/>
        <v>د3د1-3نسبة نضج واستدامة البيئة التقنيةاستراتيجينسبةكلما زاد كان أفضلربع سنويتقرير بالعملياتإدارة الشؤون المالية و الإدارية010.95</v>
      </c>
    </row>
    <row r="21" spans="1:24" s="118" customFormat="1" ht="15.75">
      <c r="A21" s="99" t="s">
        <v>141</v>
      </c>
      <c r="B21" s="99" t="s">
        <v>145</v>
      </c>
      <c r="C21" s="100" t="s">
        <v>146</v>
      </c>
      <c r="D21" s="100" t="s">
        <v>28</v>
      </c>
      <c r="E21" s="99" t="s">
        <v>37</v>
      </c>
      <c r="F21" s="99" t="s">
        <v>30</v>
      </c>
      <c r="G21" s="99" t="s">
        <v>31</v>
      </c>
      <c r="H21" s="99" t="s">
        <v>144</v>
      </c>
      <c r="I21" s="99" t="s">
        <v>94</v>
      </c>
      <c r="J21" s="99">
        <v>0</v>
      </c>
      <c r="K21" s="201">
        <v>0.8</v>
      </c>
      <c r="L21" s="202">
        <v>0.5</v>
      </c>
      <c r="M21" s="101"/>
      <c r="N21" s="103" t="str">
        <f t="shared" si="0"/>
        <v/>
      </c>
      <c r="O21" s="104" t="str">
        <f t="shared" si="1"/>
        <v/>
      </c>
      <c r="P21" s="103" t="str">
        <f t="shared" si="2"/>
        <v/>
      </c>
      <c r="Q21" s="137"/>
      <c r="R21" s="137"/>
      <c r="S21" s="137"/>
      <c r="T21" s="137"/>
      <c r="U21" s="137"/>
      <c r="V21" s="105" t="str">
        <f t="shared" si="5"/>
        <v/>
      </c>
      <c r="W21" s="105" t="str">
        <f t="shared" si="3"/>
        <v/>
      </c>
      <c r="X21" s="106" t="str">
        <f t="shared" si="4"/>
        <v>د3د2-3نسبة العمليات التي تم تطويرها وفق معايير الجودة المعتمدةاستراتيجينسبةكلما زاد كان أفضلربع سنويتقرير بالعملياتإدارة الشؤون المالية و الإدارية00.80.5</v>
      </c>
    </row>
    <row r="22" spans="1:24" s="118" customFormat="1" ht="91.5">
      <c r="A22" s="109" t="s">
        <v>147</v>
      </c>
      <c r="B22" s="109" t="s">
        <v>148</v>
      </c>
      <c r="C22" s="110" t="s">
        <v>149</v>
      </c>
      <c r="D22" s="110" t="s">
        <v>28</v>
      </c>
      <c r="E22" s="109" t="s">
        <v>150</v>
      </c>
      <c r="F22" s="109" t="s">
        <v>30</v>
      </c>
      <c r="G22" s="109" t="s">
        <v>31</v>
      </c>
      <c r="H22" s="109" t="s">
        <v>151</v>
      </c>
      <c r="I22" s="109" t="s">
        <v>107</v>
      </c>
      <c r="J22" s="109">
        <v>0</v>
      </c>
      <c r="K22" s="111">
        <v>80</v>
      </c>
      <c r="L22" s="112">
        <v>25</v>
      </c>
      <c r="M22" s="111">
        <v>27</v>
      </c>
      <c r="N22" s="113" t="str">
        <f t="shared" si="0"/>
        <v/>
      </c>
      <c r="O22" s="114" t="str">
        <f t="shared" si="1"/>
        <v/>
      </c>
      <c r="P22" s="113" t="str">
        <f t="shared" si="2"/>
        <v/>
      </c>
      <c r="Q22" s="110" t="s">
        <v>152</v>
      </c>
      <c r="R22" s="110" t="s">
        <v>153</v>
      </c>
      <c r="S22" s="231" t="s">
        <v>154</v>
      </c>
      <c r="T22" s="110"/>
      <c r="U22" s="110"/>
      <c r="V22" s="116" t="str">
        <f t="shared" si="5"/>
        <v/>
      </c>
      <c r="W22" s="116" t="str">
        <f t="shared" si="3"/>
        <v/>
      </c>
      <c r="X22" s="106" t="str">
        <f t="shared" si="4"/>
        <v>د4د1-4عدد الشراكات الفاعلةاستراتيجيشراكةكلما زاد كان أفضلربع سنويقائمة ببيانات الشراكات الفاعلة التي أقامتها الجمعيةإدارة الإتصال المؤسسي0802527تجاوز المستهدف، حيث تم تحقيق 27 شراكة فاعلة مقابل 25 شراكة مستهدفةبسبب تكثيف جهود تفعيل الشراكات القائمة، وعقد شراكات جديدة خلال الفترة، مما أسهم في تجاوز المستهدف.https://alzaadsa-my.sharepoint.com/:x:/g/personal/pmo_alzaad_org_sa/IQB7vy07ymgcRJU2sFCDjBzTAeGhMft73-1Z23WQxuOkdHA?e=koPBpN</v>
      </c>
    </row>
    <row r="23" spans="1:24" s="118" customFormat="1" ht="38.25" customHeight="1">
      <c r="A23" s="99" t="s">
        <v>147</v>
      </c>
      <c r="B23" s="99" t="s">
        <v>155</v>
      </c>
      <c r="C23" s="100" t="s">
        <v>156</v>
      </c>
      <c r="D23" s="100" t="s">
        <v>28</v>
      </c>
      <c r="E23" s="99" t="s">
        <v>157</v>
      </c>
      <c r="F23" s="99" t="s">
        <v>30</v>
      </c>
      <c r="G23" s="99" t="s">
        <v>31</v>
      </c>
      <c r="H23" s="138" t="s">
        <v>158</v>
      </c>
      <c r="I23" s="99" t="s">
        <v>107</v>
      </c>
      <c r="J23" s="99">
        <v>0</v>
      </c>
      <c r="K23" s="101" t="s">
        <v>159</v>
      </c>
      <c r="L23" s="117">
        <v>24</v>
      </c>
      <c r="M23" s="101"/>
      <c r="N23" s="103" t="str">
        <f t="shared" si="0"/>
        <v/>
      </c>
      <c r="O23" s="104" t="str">
        <f t="shared" si="1"/>
        <v/>
      </c>
      <c r="P23" s="103" t="str">
        <f t="shared" si="2"/>
        <v/>
      </c>
      <c r="Q23" s="100"/>
      <c r="R23" s="100"/>
      <c r="S23" s="232" t="s">
        <v>160</v>
      </c>
      <c r="T23" s="100"/>
      <c r="U23" s="100"/>
      <c r="V23" s="105" t="str">
        <f t="shared" si="5"/>
        <v/>
      </c>
      <c r="W23" s="105" t="str">
        <f t="shared" si="3"/>
        <v/>
      </c>
      <c r="X23" s="106" t="str">
        <f t="shared" si="4"/>
        <v>د4د2-4عدد الزيارات المنفذة للشركاء وأصحاب المصلحة استراتيجيعددكلما زاد كان أفضلربع سنويقائمة بالشركاء وأصحاب المصلحة الذين تم التواصل معهم بأسمائهم أو أوصافهم )مثال: قاعدة
بيانات الواتس – شركاء منافذ( موضح بها العدد ووسيلة التواصل)إدارة الإتصال المؤسسي052 زيارة،4 عمليات تواصل24https://alzaadsa-my.sharepoint.com/:x:/g/personal/yousefalmuaiouf_alzaad_org_sa/IQAQ2zUsxLyKRqWVoDs908tUAbjUVPVsKrm86YCwYspPbEk?e=8Nntxp</v>
      </c>
    </row>
    <row r="24" spans="1:24" s="118" customFormat="1" ht="15.75">
      <c r="A24" s="109" t="s">
        <v>147</v>
      </c>
      <c r="B24" s="109" t="s">
        <v>161</v>
      </c>
      <c r="C24" s="110" t="s">
        <v>162</v>
      </c>
      <c r="D24" s="110" t="s">
        <v>28</v>
      </c>
      <c r="E24" s="109" t="s">
        <v>37</v>
      </c>
      <c r="F24" s="109" t="s">
        <v>30</v>
      </c>
      <c r="G24" s="109" t="s">
        <v>31</v>
      </c>
      <c r="H24" s="109" t="s">
        <v>163</v>
      </c>
      <c r="I24" s="109" t="s">
        <v>107</v>
      </c>
      <c r="J24" s="109">
        <v>0</v>
      </c>
      <c r="K24" s="203">
        <v>0.94</v>
      </c>
      <c r="L24" s="204">
        <v>0</v>
      </c>
      <c r="M24" s="134" t="s">
        <v>164</v>
      </c>
      <c r="N24" s="113" t="str">
        <f t="shared" si="0"/>
        <v/>
      </c>
      <c r="O24" s="135" t="str">
        <f t="shared" si="1"/>
        <v/>
      </c>
      <c r="P24" s="136" t="str">
        <f t="shared" si="2"/>
        <v/>
      </c>
      <c r="Q24" s="139"/>
      <c r="R24" s="139"/>
      <c r="S24" s="139"/>
      <c r="T24" s="139"/>
      <c r="U24" s="139"/>
      <c r="V24" s="116" t="str">
        <f t="shared" si="5"/>
        <v/>
      </c>
      <c r="W24" s="116" t="str">
        <f t="shared" si="3"/>
        <v/>
      </c>
      <c r="X24" s="106" t="str">
        <f t="shared" si="4"/>
        <v>د4د3-4نسبة رضا أصحاب المصلحة عن الجمعيةاستراتيجينسبةكلما زاد كان أفضلربع سنويإستمارات قياس رضا أصحاب المصلحة عن الجمعيةإدارة الإتصال المؤسسي00.940قياس نصفي</v>
      </c>
    </row>
    <row r="25" spans="1:24" s="118" customFormat="1" ht="91.5">
      <c r="A25" s="99" t="s">
        <v>165</v>
      </c>
      <c r="B25" s="99" t="s">
        <v>166</v>
      </c>
      <c r="C25" s="100" t="s">
        <v>167</v>
      </c>
      <c r="D25" s="100" t="s">
        <v>28</v>
      </c>
      <c r="E25" s="99" t="s">
        <v>168</v>
      </c>
      <c r="F25" s="99" t="s">
        <v>30</v>
      </c>
      <c r="G25" s="99" t="s">
        <v>31</v>
      </c>
      <c r="H25" s="99" t="s">
        <v>169</v>
      </c>
      <c r="I25" s="99" t="s">
        <v>107</v>
      </c>
      <c r="J25" s="99">
        <v>0</v>
      </c>
      <c r="K25" s="101">
        <v>200</v>
      </c>
      <c r="L25" s="117">
        <v>70</v>
      </c>
      <c r="M25" s="101">
        <v>77</v>
      </c>
      <c r="N25" s="103" t="str">
        <f t="shared" si="0"/>
        <v/>
      </c>
      <c r="O25" s="104" t="str">
        <f t="shared" si="1"/>
        <v/>
      </c>
      <c r="P25" s="103" t="str">
        <f t="shared" si="2"/>
        <v/>
      </c>
      <c r="Q25" s="100" t="s">
        <v>170</v>
      </c>
      <c r="R25" s="100" t="s">
        <v>171</v>
      </c>
      <c r="S25" s="232" t="s">
        <v>172</v>
      </c>
      <c r="T25" s="100"/>
      <c r="U25" s="100"/>
      <c r="V25" s="105" t="str">
        <f t="shared" si="5"/>
        <v/>
      </c>
      <c r="W25" s="105" t="str">
        <f t="shared" si="3"/>
        <v/>
      </c>
      <c r="X25" s="106" t="str">
        <f t="shared" si="4"/>
        <v>د5د1-5عدد المشاركات الإعلامية التي تخدم أهداف الجمعيةاستراتيجيمشاركة إعلاميةكلما زاد كان أفضلربع سنويتقرير بالمشاركات الإعلامية التي نشرتها الجمعيةإدارة الإتصال المؤسسي02007077تجاوز المستهدف بسبب كثرة البرامج والتقارير و تعدد منصات النشر https://alzaadsa-my.sharepoint.com/:x:/g/personal/pmo_alzaad_org_sa/IQDo-smBxou5RJXMyGYglAzCAaF2cTSRecZdS3gFJmFPBUk?e=BB1ZKd</v>
      </c>
    </row>
    <row r="26" spans="1:24" s="118" customFormat="1" ht="76.5">
      <c r="A26" s="109" t="s">
        <v>165</v>
      </c>
      <c r="B26" s="109" t="s">
        <v>173</v>
      </c>
      <c r="C26" s="110" t="s">
        <v>174</v>
      </c>
      <c r="D26" s="110" t="s">
        <v>28</v>
      </c>
      <c r="E26" s="109" t="s">
        <v>175</v>
      </c>
      <c r="F26" s="109" t="s">
        <v>30</v>
      </c>
      <c r="G26" s="109" t="s">
        <v>31</v>
      </c>
      <c r="H26" s="109" t="s">
        <v>176</v>
      </c>
      <c r="I26" s="109" t="s">
        <v>107</v>
      </c>
      <c r="J26" s="109">
        <v>0</v>
      </c>
      <c r="K26" s="111">
        <v>5000000</v>
      </c>
      <c r="L26" s="112">
        <v>2500000</v>
      </c>
      <c r="M26" s="111" t="s">
        <v>177</v>
      </c>
      <c r="N26" s="113" t="str">
        <f t="shared" si="0"/>
        <v/>
      </c>
      <c r="O26" s="114" t="str">
        <f t="shared" si="1"/>
        <v/>
      </c>
      <c r="P26" s="113" t="str">
        <f t="shared" si="2"/>
        <v/>
      </c>
      <c r="Q26" s="110" t="s">
        <v>178</v>
      </c>
      <c r="R26" s="110" t="s">
        <v>179</v>
      </c>
      <c r="S26" s="231" t="s">
        <v>180</v>
      </c>
      <c r="T26" s="110"/>
      <c r="U26" s="110"/>
      <c r="V26" s="116" t="str">
        <f t="shared" si="5"/>
        <v/>
      </c>
      <c r="W26" s="116" t="str">
        <f t="shared" si="3"/>
        <v/>
      </c>
      <c r="X26" s="106" t="str">
        <f t="shared" si="4"/>
        <v>د5د2-5عدد مرات الظهور الإعلامي (المشاهدات) استراتيجيمشاهدةكلما زاد كان أفضلربع سنويتقرير بالمشاهدات للمشاركات الإعلامية، بتوضيح كل قناة وعدد المشاهدات / الظهور فيهاإدارة الإتصال المؤسسي050000002500000891,001	أقل من المستهدف الرقم جيد ولكن المستهدف كبيرhttps://alzaadsa-my.sharepoint.com/:x:/g/personal/pmo_alzaad_org_sa/IQBUK_2ZwxVnSJVTBIzV_hsZAXgJc30bu00sFkZ6RSRG_-M?e=rvEBgA</v>
      </c>
    </row>
    <row r="27" spans="1:24" s="118" customFormat="1" ht="91.5">
      <c r="A27" s="99" t="s">
        <v>165</v>
      </c>
      <c r="B27" s="99" t="s">
        <v>181</v>
      </c>
      <c r="C27" s="100" t="s">
        <v>182</v>
      </c>
      <c r="D27" s="100" t="s">
        <v>28</v>
      </c>
      <c r="E27" s="99" t="s">
        <v>183</v>
      </c>
      <c r="F27" s="99" t="s">
        <v>30</v>
      </c>
      <c r="G27" s="99" t="s">
        <v>31</v>
      </c>
      <c r="H27" s="99" t="s">
        <v>184</v>
      </c>
      <c r="I27" s="99" t="s">
        <v>107</v>
      </c>
      <c r="J27" s="99">
        <v>0</v>
      </c>
      <c r="K27" s="101">
        <v>20</v>
      </c>
      <c r="L27" s="117">
        <v>20</v>
      </c>
      <c r="M27" s="101">
        <v>26</v>
      </c>
      <c r="N27" s="103" t="str">
        <f t="shared" si="0"/>
        <v/>
      </c>
      <c r="O27" s="104" t="str">
        <f t="shared" si="1"/>
        <v/>
      </c>
      <c r="P27" s="103" t="str">
        <f t="shared" si="2"/>
        <v/>
      </c>
      <c r="Q27" s="100" t="s">
        <v>185</v>
      </c>
      <c r="R27" s="100" t="s">
        <v>186</v>
      </c>
      <c r="S27" s="232" t="s">
        <v>187</v>
      </c>
      <c r="T27" s="100"/>
      <c r="U27" s="100"/>
      <c r="V27" s="105" t="str">
        <f t="shared" si="5"/>
        <v/>
      </c>
      <c r="W27" s="105" t="str">
        <f t="shared" si="3"/>
        <v/>
      </c>
      <c r="X27" s="106" t="str">
        <f t="shared" si="4"/>
        <v>د5د3-5عدد قنوات الظهور الإعلامياستراتيجيقناةكلما زاد كان أفضلربع سنويقائمة بالقنوات الإعلاميةإدارة الإتصال المؤسسي0202026أكثر من المستهدفوجود برامج ومبادرت جلبت قنوات ظهور جديدة https://alzaadsa-my.sharepoint.com/:x:/g/personal/pmo_alzaad_org_sa/IQCu-MV0BSBXQaE85-rKFY1DARFC1aDayyX5MG4joqFuHJA?e=N3ZOlw</v>
      </c>
    </row>
    <row r="28" spans="1:24" s="118" customFormat="1" ht="15.75">
      <c r="A28" s="109" t="s">
        <v>188</v>
      </c>
      <c r="B28" s="109" t="s">
        <v>189</v>
      </c>
      <c r="C28" s="110" t="s">
        <v>190</v>
      </c>
      <c r="D28" s="110" t="s">
        <v>28</v>
      </c>
      <c r="E28" s="109" t="s">
        <v>191</v>
      </c>
      <c r="F28" s="109" t="s">
        <v>30</v>
      </c>
      <c r="G28" s="109" t="s">
        <v>31</v>
      </c>
      <c r="H28" s="109" t="s">
        <v>192</v>
      </c>
      <c r="I28" s="109" t="s">
        <v>193</v>
      </c>
      <c r="J28" s="109">
        <v>0</v>
      </c>
      <c r="K28" s="111">
        <v>50</v>
      </c>
      <c r="L28" s="112">
        <v>10</v>
      </c>
      <c r="M28" s="111"/>
      <c r="N28" s="113" t="str">
        <f t="shared" si="0"/>
        <v/>
      </c>
      <c r="O28" s="114" t="str">
        <f t="shared" si="1"/>
        <v/>
      </c>
      <c r="P28" s="113" t="str">
        <f t="shared" si="2"/>
        <v/>
      </c>
      <c r="Q28" s="110"/>
      <c r="R28" s="110"/>
      <c r="S28" s="110"/>
      <c r="T28" s="110"/>
      <c r="U28" s="110"/>
      <c r="V28" s="116" t="str">
        <f t="shared" si="5"/>
        <v/>
      </c>
      <c r="W28" s="116" t="str">
        <f t="shared" si="3"/>
        <v/>
      </c>
      <c r="X28" s="106" t="str">
        <f t="shared" si="4"/>
        <v>ن1ن1-1متوسط عدد الساعات التطويرية المقدمة للفرداستراتيجيساعةكلما زاد كان أفضلربع سنويتقرير بالساعات التطويرية المقدمة لموظفي الجمعية ونوع التطوير المقدمإدارة الأداء و النمو05010</v>
      </c>
    </row>
    <row r="29" spans="1:24" s="118" customFormat="1" ht="15.75">
      <c r="A29" s="99" t="s">
        <v>188</v>
      </c>
      <c r="B29" s="99" t="s">
        <v>194</v>
      </c>
      <c r="C29" s="100" t="s">
        <v>195</v>
      </c>
      <c r="D29" s="100" t="s">
        <v>28</v>
      </c>
      <c r="E29" s="99" t="s">
        <v>37</v>
      </c>
      <c r="F29" s="99" t="s">
        <v>30</v>
      </c>
      <c r="G29" s="99" t="s">
        <v>31</v>
      </c>
      <c r="H29" s="99" t="s">
        <v>196</v>
      </c>
      <c r="I29" s="99" t="s">
        <v>193</v>
      </c>
      <c r="J29" s="99">
        <v>0</v>
      </c>
      <c r="K29" s="201">
        <v>0.65</v>
      </c>
      <c r="L29" s="205">
        <v>0.45</v>
      </c>
      <c r="M29" s="101"/>
      <c r="N29" s="103" t="str">
        <f t="shared" si="0"/>
        <v/>
      </c>
      <c r="O29" s="104" t="str">
        <f t="shared" si="1"/>
        <v/>
      </c>
      <c r="P29" s="103" t="str">
        <f t="shared" si="2"/>
        <v/>
      </c>
      <c r="Q29" s="137"/>
      <c r="R29" s="137"/>
      <c r="S29" s="137"/>
      <c r="T29" s="137"/>
      <c r="U29" s="137"/>
      <c r="V29" s="105" t="str">
        <f t="shared" si="5"/>
        <v/>
      </c>
      <c r="W29" s="105" t="str">
        <f t="shared" si="3"/>
        <v/>
      </c>
      <c r="X29" s="106" t="str">
        <f t="shared" si="4"/>
        <v>ن1ن2-1نسبة الموظفين المؤهلين مهنيًا في وظائفهماستراتيجينسبةكلما زاد كان أفضلربع سنويتقرير بالموظفين الحاصلين على التأهيل وخطط الإحتياج المهني لهمإدارة الأداء و النمو00.650.45</v>
      </c>
    </row>
    <row r="30" spans="1:24" s="118" customFormat="1" ht="38.25" customHeight="1">
      <c r="A30" s="109" t="s">
        <v>197</v>
      </c>
      <c r="B30" s="109" t="s">
        <v>198</v>
      </c>
      <c r="C30" s="110" t="s">
        <v>199</v>
      </c>
      <c r="D30" s="110" t="s">
        <v>28</v>
      </c>
      <c r="E30" s="109" t="s">
        <v>200</v>
      </c>
      <c r="F30" s="109" t="s">
        <v>30</v>
      </c>
      <c r="G30" s="109" t="s">
        <v>31</v>
      </c>
      <c r="H30" s="140" t="s">
        <v>201</v>
      </c>
      <c r="I30" s="109" t="s">
        <v>62</v>
      </c>
      <c r="J30" s="109">
        <v>0</v>
      </c>
      <c r="K30" s="111">
        <v>2500</v>
      </c>
      <c r="L30" s="112">
        <v>1300</v>
      </c>
      <c r="M30" s="111">
        <v>968</v>
      </c>
      <c r="N30" s="113" t="str">
        <f t="shared" si="0"/>
        <v/>
      </c>
      <c r="O30" s="114" t="str">
        <f t="shared" si="1"/>
        <v/>
      </c>
      <c r="P30" s="113" t="str">
        <f t="shared" si="2"/>
        <v/>
      </c>
      <c r="Q30" s="110" t="s">
        <v>202</v>
      </c>
      <c r="R30" s="110" t="s">
        <v>203</v>
      </c>
      <c r="S30" s="231" t="s">
        <v>204</v>
      </c>
      <c r="T30" s="110"/>
      <c r="U30" s="110"/>
      <c r="V30" s="116" t="str">
        <f t="shared" si="5"/>
        <v/>
      </c>
      <c r="W30" s="116" t="str">
        <f t="shared" si="3"/>
        <v/>
      </c>
      <c r="X30" s="106" t="str">
        <f t="shared" si="4"/>
        <v>ن2ن1-2عدد المتطوعين في أعمال وبرامج الجمعية (بدون تكرار)استراتيجيمتطوعكلما زاد كان أفضلربع سنويتقرير بأسماء المشاريع أو البرامج التي شارك فيها متطوعون وعددهم + تقرير بالمتطوعين المشاركين
في إدارات الجمعيةإدارة التكافل المجتمعي025001300968تم تسجيل (968) متطوعًا في أعمال وبرامج الجمعية خلال الربع الأول من عام 2026، بدون تكرار، وهو ما يمثل نسبة تحقق بلغت (38.7%) من المستهدف السنوي البالغ (2500) متطوع.من خلال تفعيل منصة التطوع وتسجيل المتطوعين في برامج الجمعية المختلفة، وحصر أسماء المتطوعين المشاركين في إدارات الجمعية وبرامجها، وإعداد تقرير موحد بأسماء المشاريع والبرامج التي شارك فيها متطوعون وعددهم بدون تكرار.https://alzaadsa-my.sharepoint.com/:x:/g/personal/fatimahalfahhad_alzaad_org_sa/IQAn5SLQ8esGR4bRNysz8R17AZJZE6_VY_rFI-8WfuEWaSw?e=WbIIKZ</v>
      </c>
    </row>
    <row r="31" spans="1:24" s="118" customFormat="1" ht="91.5">
      <c r="A31" s="99" t="s">
        <v>197</v>
      </c>
      <c r="B31" s="99" t="s">
        <v>205</v>
      </c>
      <c r="C31" s="100" t="s">
        <v>206</v>
      </c>
      <c r="D31" s="100" t="s">
        <v>28</v>
      </c>
      <c r="E31" s="99" t="s">
        <v>191</v>
      </c>
      <c r="F31" s="99" t="s">
        <v>30</v>
      </c>
      <c r="G31" s="99" t="s">
        <v>31</v>
      </c>
      <c r="H31" s="99" t="s">
        <v>207</v>
      </c>
      <c r="I31" s="99" t="s">
        <v>62</v>
      </c>
      <c r="J31" s="99">
        <v>0</v>
      </c>
      <c r="K31" s="101">
        <v>70000</v>
      </c>
      <c r="L31" s="117">
        <v>32000</v>
      </c>
      <c r="M31" s="101">
        <v>47274</v>
      </c>
      <c r="N31" s="103" t="str">
        <f t="shared" si="0"/>
        <v/>
      </c>
      <c r="O31" s="104" t="str">
        <f t="shared" si="1"/>
        <v/>
      </c>
      <c r="P31" s="103" t="str">
        <f t="shared" si="2"/>
        <v/>
      </c>
      <c r="Q31" s="100" t="s">
        <v>208</v>
      </c>
      <c r="R31" s="100" t="s">
        <v>209</v>
      </c>
      <c r="S31" s="232" t="s">
        <v>204</v>
      </c>
      <c r="T31" s="100"/>
      <c r="U31" s="100"/>
      <c r="V31" s="105" t="str">
        <f t="shared" si="5"/>
        <v/>
      </c>
      <c r="W31" s="105" t="str">
        <f t="shared" si="3"/>
        <v/>
      </c>
      <c r="X31" s="106" t="str">
        <f t="shared" si="4"/>
        <v>ن2ن2-2عدد الساعات التطوعيةاستراتيجيساعةكلما زاد كان أفضلربع سنويتقرير بالساعات التطوعية التي تم تسجيلها منصة التطوع + (من لم تنطبق عليه الشروط)إدارة التكافل المجتمعي0700003200047274تم تسجيل (47274) ساعة تطوعية خلال الربع الأول من عام 2026، وهو ما يمثل نسبة تحقق بلغت (62.3%) من المستهدف للربع الأول البالغ (32,000) ساعة، وتجاوز المستهدف الربعي بفارق (15,274) ساعة.من خلال تسجيل الساعات التطوعية عبر منصة التطوع الرسمية، وإضافة ساعات المتطوعين الذين لم تنطبق عليهم شروط المنصة يدويًا، وتجميع التقارير الدورية من الإدارات والبرامج المختلفة لاستخراج إجمالي الساعات التطوعية المنجزة خلال الربع الأول.https://alzaadsa-my.sharepoint.com/:x:/g/personal/fatimahalfahhad_alzaad_org_sa/IQAn5SLQ8esGR4bRNysz8R17AZJZE6_VY_rFI-8WfuEWaSw?e=WbIIKZ</v>
      </c>
    </row>
    <row r="32" spans="1:24" s="118" customFormat="1" ht="15.75">
      <c r="A32" s="109" t="s">
        <v>210</v>
      </c>
      <c r="B32" s="109" t="s">
        <v>211</v>
      </c>
      <c r="C32" s="110" t="s">
        <v>212</v>
      </c>
      <c r="D32" s="110" t="s">
        <v>28</v>
      </c>
      <c r="E32" s="109" t="s">
        <v>37</v>
      </c>
      <c r="F32" s="109" t="s">
        <v>30</v>
      </c>
      <c r="G32" s="109" t="s">
        <v>31</v>
      </c>
      <c r="H32" s="109" t="s">
        <v>213</v>
      </c>
      <c r="I32" s="109" t="s">
        <v>193</v>
      </c>
      <c r="J32" s="109">
        <v>0</v>
      </c>
      <c r="K32" s="206">
        <v>0.88</v>
      </c>
      <c r="L32" s="207">
        <v>0.85</v>
      </c>
      <c r="M32" s="111"/>
      <c r="N32" s="113" t="str">
        <f t="shared" si="0"/>
        <v/>
      </c>
      <c r="O32" s="114" t="str">
        <f t="shared" si="1"/>
        <v/>
      </c>
      <c r="P32" s="113" t="str">
        <f t="shared" si="2"/>
        <v/>
      </c>
      <c r="Q32" s="115"/>
      <c r="R32" s="115"/>
      <c r="S32" s="115"/>
      <c r="T32" s="115"/>
      <c r="U32" s="115"/>
      <c r="V32" s="116" t="str">
        <f t="shared" si="5"/>
        <v/>
      </c>
      <c r="W32" s="116" t="str">
        <f t="shared" si="3"/>
        <v/>
      </c>
      <c r="X32" s="106" t="str">
        <f t="shared" si="4"/>
        <v>ن3ن1-3نسبة رضا العاملين عن بيئة العمل استراتيجينسبةكلما زاد كان أفضلربع سنويإستمارات قياس رضا العاملينإدارة الأداء و النمو00.880.85</v>
      </c>
    </row>
    <row r="33" spans="1:24" s="118" customFormat="1" ht="91.5">
      <c r="A33" s="99" t="s">
        <v>210</v>
      </c>
      <c r="B33" s="99" t="s">
        <v>214</v>
      </c>
      <c r="C33" s="100" t="s">
        <v>215</v>
      </c>
      <c r="D33" s="100" t="s">
        <v>28</v>
      </c>
      <c r="E33" s="99" t="s">
        <v>29</v>
      </c>
      <c r="F33" s="99" t="s">
        <v>30</v>
      </c>
      <c r="G33" s="99" t="s">
        <v>31</v>
      </c>
      <c r="H33" s="99" t="s">
        <v>216</v>
      </c>
      <c r="I33" s="99" t="s">
        <v>193</v>
      </c>
      <c r="J33" s="99">
        <v>0</v>
      </c>
      <c r="K33" s="193">
        <v>70000</v>
      </c>
      <c r="L33" s="197">
        <v>20000</v>
      </c>
      <c r="M33" s="101">
        <v>77086.92</v>
      </c>
      <c r="N33" s="103" t="str">
        <f t="shared" si="0"/>
        <v/>
      </c>
      <c r="O33" s="104" t="str">
        <f t="shared" si="1"/>
        <v/>
      </c>
      <c r="P33" s="103" t="str">
        <f t="shared" si="2"/>
        <v/>
      </c>
      <c r="Q33" s="141" t="s">
        <v>217</v>
      </c>
      <c r="R33" s="141" t="s">
        <v>218</v>
      </c>
      <c r="S33" s="330" t="s">
        <v>219</v>
      </c>
      <c r="T33" s="141"/>
      <c r="U33" s="141"/>
      <c r="V33" s="105" t="str">
        <f t="shared" si="5"/>
        <v/>
      </c>
      <c r="W33" s="105" t="str">
        <f t="shared" si="3"/>
        <v/>
      </c>
      <c r="X33" s="106" t="str">
        <f t="shared" si="4"/>
        <v>ن3ن2-3إجمالي تكلفة المبادرات التحفيزية للعاملين  استراتيجيريالكلما زاد كان أفضلربع سنويتقرير بالمبادرات المنفذة لتحفيز العاملين وتكاليفها الماليةإدارة الأداء و النمو0700002000077086.92تم إرفاق مبادرتين لتحفيز الموظفين،من خلال مبادرتين هما:  1- الخروج المبكر خلال يوم الترحيب بعد العودة للعمل: تهدف هذه المبادرة إلى خلق أجواء إيجابية عند استئناف العمل وتعزيز الحماس لدى الموظفين. 2-تقليص ساعات العمل بساعتين خلال شهر رمضان: تأتي هذه المبادرة تقديرًا لخصوصية الشهر الكريم، ولتحفيز الموظفين على زيادة الإنتاجية وتحقيق الإنجاز بكفاءة أعلى.https://alzaadsa-my.sharepoint.com/:b:/g/personal/hr_alzaad_org_sa/IQAlUTY_UAvAQqcveKOafJ-4AV02mymy2VpW1OOvfhUsIyc?e=5pjBts</v>
      </c>
    </row>
    <row r="34" spans="1:24" s="118" customFormat="1" ht="15.75">
      <c r="A34" s="109" t="s">
        <v>220</v>
      </c>
      <c r="B34" s="109" t="s">
        <v>221</v>
      </c>
      <c r="C34" s="110" t="s">
        <v>222</v>
      </c>
      <c r="D34" s="110" t="s">
        <v>28</v>
      </c>
      <c r="E34" s="109" t="s">
        <v>223</v>
      </c>
      <c r="F34" s="109" t="s">
        <v>30</v>
      </c>
      <c r="G34" s="109" t="s">
        <v>31</v>
      </c>
      <c r="H34" s="109" t="s">
        <v>224</v>
      </c>
      <c r="I34" s="109" t="s">
        <v>225</v>
      </c>
      <c r="J34" s="109">
        <v>0</v>
      </c>
      <c r="K34" s="206">
        <v>1</v>
      </c>
      <c r="L34" s="208">
        <v>1</v>
      </c>
      <c r="M34" s="111"/>
      <c r="N34" s="113" t="str">
        <f t="shared" ref="N34:N64" si="6">IF(AND($T34="معتمد",$L34&gt;0),$M34/$L34,"")</f>
        <v/>
      </c>
      <c r="O34" s="114" t="str">
        <f t="shared" ref="O34:O64" si="7">IF($T34="معتمد",$M34-$L34,"")</f>
        <v/>
      </c>
      <c r="P34" s="113" t="str">
        <f t="shared" ref="P34:P64" si="8">IF(AND($T34="معتمد",$L34&gt;0),($M34-$L34)/$L34,"")</f>
        <v/>
      </c>
      <c r="Q34" s="115"/>
      <c r="R34" s="115"/>
      <c r="S34" s="115"/>
      <c r="T34" s="115"/>
      <c r="U34" s="115"/>
      <c r="V34" s="116" t="str">
        <f t="shared" ref="V34:V64" si="9">IF($T34&lt;&gt;"معتمد","",IFERROR((IF(AND($T34="معتمد",$L34&gt;0),$M34,0))/(IF(AND($T34="معتمد",$L34&gt;0),$L34,0)),""))</f>
        <v/>
      </c>
      <c r="W34" s="116" t="str">
        <f t="shared" ref="W34:W64" si="10">IF(AND($T34="معتمد",$K34&gt;0),(IF($T34="معتمد",$M34,0))/$K34,"")</f>
        <v/>
      </c>
      <c r="X34" s="106" t="str">
        <f t="shared" ref="X34:X64" si="11">A34&amp;B34&amp;C34&amp;D34&amp;E34&amp;F34&amp;G34&amp;H34&amp;I34&amp;J34&amp;K34&amp;L34&amp;M34&amp;N34&amp;O34&amp;P34&amp;Q34&amp;R34&amp;S34&amp;T34&amp;U34&amp;V34&amp;W34</f>
        <v>ن4ن1-4نسبة إكتمال اللوائح والسياساتاستراتيجيلائحة،سياسةكلما زاد كان أفضلربع سنويقائمة باللوائح المعتمدة للبناء مع توضيح المنجز منهاجميع الإدارات011</v>
      </c>
    </row>
    <row r="35" spans="1:24" s="118" customFormat="1" ht="15.75">
      <c r="A35" s="99" t="s">
        <v>220</v>
      </c>
      <c r="B35" s="99" t="s">
        <v>226</v>
      </c>
      <c r="C35" s="100" t="s">
        <v>227</v>
      </c>
      <c r="D35" s="100" t="s">
        <v>28</v>
      </c>
      <c r="E35" s="99" t="s">
        <v>228</v>
      </c>
      <c r="F35" s="99" t="s">
        <v>30</v>
      </c>
      <c r="G35" s="99" t="s">
        <v>229</v>
      </c>
      <c r="H35" s="99" t="s">
        <v>230</v>
      </c>
      <c r="I35" s="99" t="s">
        <v>193</v>
      </c>
      <c r="J35" s="99">
        <v>0</v>
      </c>
      <c r="K35" s="201">
        <v>1</v>
      </c>
      <c r="L35" s="209">
        <v>1</v>
      </c>
      <c r="M35" s="101"/>
      <c r="N35" s="103" t="str">
        <f t="shared" si="6"/>
        <v/>
      </c>
      <c r="O35" s="104" t="str">
        <f t="shared" si="7"/>
        <v/>
      </c>
      <c r="P35" s="103" t="str">
        <f t="shared" si="8"/>
        <v/>
      </c>
      <c r="Q35" s="137"/>
      <c r="R35" s="137"/>
      <c r="S35" s="137"/>
      <c r="T35" s="137"/>
      <c r="U35" s="137"/>
      <c r="V35" s="105" t="str">
        <f t="shared" si="9"/>
        <v/>
      </c>
      <c r="W35" s="105" t="str">
        <f t="shared" si="10"/>
        <v/>
      </c>
      <c r="X35" s="106" t="str">
        <f t="shared" si="11"/>
        <v>ن4ن2-4الدرجة المتحصلة في معايير الحوكمةاستراتيجيدرجةكلما زاد كان أفضلسنويتقرير قياس المعيارإدارة الأداء و النمو011</v>
      </c>
    </row>
    <row r="36" spans="1:24" s="118" customFormat="1" ht="15.75">
      <c r="A36" s="109" t="s">
        <v>231</v>
      </c>
      <c r="B36" s="109" t="s">
        <v>232</v>
      </c>
      <c r="C36" s="110" t="s">
        <v>233</v>
      </c>
      <c r="D36" s="110" t="s">
        <v>28</v>
      </c>
      <c r="E36" s="109" t="s">
        <v>60</v>
      </c>
      <c r="F36" s="109" t="s">
        <v>30</v>
      </c>
      <c r="G36" s="142" t="s">
        <v>31</v>
      </c>
      <c r="H36" s="109" t="s">
        <v>234</v>
      </c>
      <c r="I36" s="143" t="s">
        <v>140</v>
      </c>
      <c r="J36" s="109">
        <v>0</v>
      </c>
      <c r="K36" s="134">
        <v>4</v>
      </c>
      <c r="L36" s="129">
        <v>0</v>
      </c>
      <c r="M36" s="134"/>
      <c r="N36" s="113" t="str">
        <f t="shared" si="6"/>
        <v/>
      </c>
      <c r="O36" s="135" t="str">
        <f t="shared" si="7"/>
        <v/>
      </c>
      <c r="P36" s="136" t="str">
        <f t="shared" si="8"/>
        <v/>
      </c>
      <c r="Q36" s="109"/>
      <c r="R36" s="109"/>
      <c r="S36" s="109"/>
      <c r="T36" s="109"/>
      <c r="U36" s="109"/>
      <c r="V36" s="116" t="str">
        <f t="shared" si="9"/>
        <v/>
      </c>
      <c r="W36" s="116" t="str">
        <f t="shared" si="10"/>
        <v/>
      </c>
      <c r="X36" s="106" t="str">
        <f t="shared" si="11"/>
        <v>ن5ن1-5عدد المبادرات المنفذة في تطوير إدارة المعرفةاستراتيجيمبادرةكلما زاد كان أفضلربع سنويقائمة بمبادرات إدارة المعرفة المنفذةإدارة الشؤون المالية و الإدارية،إدارة الأداء و النمو040</v>
      </c>
    </row>
    <row r="37" spans="1:24" s="118" customFormat="1" ht="15" hidden="1">
      <c r="A37" s="144" t="s">
        <v>235</v>
      </c>
      <c r="B37" s="144" t="s">
        <v>236</v>
      </c>
      <c r="C37" s="145" t="s">
        <v>237</v>
      </c>
      <c r="D37" s="146" t="s">
        <v>238</v>
      </c>
      <c r="E37" s="147" t="s">
        <v>37</v>
      </c>
      <c r="F37" s="144" t="s">
        <v>30</v>
      </c>
      <c r="G37" s="145" t="s">
        <v>31</v>
      </c>
      <c r="H37" s="146" t="s">
        <v>239</v>
      </c>
      <c r="I37" s="99" t="s">
        <v>94</v>
      </c>
      <c r="J37" s="144">
        <v>0</v>
      </c>
      <c r="K37" s="148">
        <v>30</v>
      </c>
      <c r="L37" s="149">
        <v>3</v>
      </c>
      <c r="M37" s="150"/>
      <c r="N37" s="103" t="str">
        <f t="shared" si="6"/>
        <v/>
      </c>
      <c r="O37" s="151" t="str">
        <f t="shared" si="7"/>
        <v/>
      </c>
      <c r="P37" s="152" t="str">
        <f t="shared" si="8"/>
        <v/>
      </c>
      <c r="Q37" s="146"/>
      <c r="R37" s="146"/>
      <c r="S37" s="146"/>
      <c r="T37" s="146"/>
      <c r="U37" s="146"/>
      <c r="V37" s="153" t="str">
        <f t="shared" si="9"/>
        <v/>
      </c>
      <c r="W37" s="153" t="str">
        <f t="shared" si="10"/>
        <v/>
      </c>
      <c r="X37" s="154" t="str">
        <f t="shared" si="11"/>
        <v>FIN-01FIN-01-KPI-01نسبة إشغال العقارات الاستثماريةتشغيلينسبةكلما زاد كان أفضلربع سنويسجل الأوقافإدارة الشؤون المالية و الإدارية0303</v>
      </c>
    </row>
    <row r="38" spans="1:24" s="118" customFormat="1" ht="15.75" hidden="1">
      <c r="A38" s="155" t="s">
        <v>240</v>
      </c>
      <c r="B38" s="155" t="s">
        <v>241</v>
      </c>
      <c r="C38" s="156" t="s">
        <v>242</v>
      </c>
      <c r="D38" s="157" t="s">
        <v>238</v>
      </c>
      <c r="E38" s="158" t="s">
        <v>37</v>
      </c>
      <c r="F38" s="155"/>
      <c r="G38" s="156" t="s">
        <v>31</v>
      </c>
      <c r="H38" s="157" t="s">
        <v>243</v>
      </c>
      <c r="I38" s="109" t="s">
        <v>94</v>
      </c>
      <c r="J38" s="155">
        <v>0</v>
      </c>
      <c r="K38" s="210">
        <v>100000</v>
      </c>
      <c r="L38" s="211">
        <v>20000</v>
      </c>
      <c r="M38" s="161"/>
      <c r="N38" s="113" t="str">
        <f t="shared" si="6"/>
        <v/>
      </c>
      <c r="O38" s="162" t="str">
        <f t="shared" si="7"/>
        <v/>
      </c>
      <c r="P38" s="163" t="str">
        <f t="shared" si="8"/>
        <v/>
      </c>
      <c r="Q38" s="157"/>
      <c r="R38" s="157"/>
      <c r="S38" s="157"/>
      <c r="T38" s="157"/>
      <c r="U38" s="157"/>
      <c r="V38" s="164" t="str">
        <f t="shared" si="9"/>
        <v/>
      </c>
      <c r="W38" s="164" t="str">
        <f t="shared" si="10"/>
        <v/>
      </c>
      <c r="X38" s="154" t="str">
        <f t="shared" si="11"/>
        <v>FIN-02FIN-02-KPI-01نسبة تحصيل المستحقات الماليةتشغيلينسبةربع سنويسجل الإيرادات إدارة الشؤون المالية و الإدارية010000020000</v>
      </c>
    </row>
    <row r="39" spans="1:24" s="118" customFormat="1" ht="15" hidden="1">
      <c r="A39" s="144" t="s">
        <v>244</v>
      </c>
      <c r="B39" s="144" t="s">
        <v>245</v>
      </c>
      <c r="C39" s="145" t="s">
        <v>246</v>
      </c>
      <c r="D39" s="146" t="s">
        <v>238</v>
      </c>
      <c r="E39" s="147" t="s">
        <v>37</v>
      </c>
      <c r="F39" s="144" t="s">
        <v>30</v>
      </c>
      <c r="G39" s="145" t="s">
        <v>31</v>
      </c>
      <c r="H39" s="146" t="s">
        <v>247</v>
      </c>
      <c r="I39" s="99" t="s">
        <v>94</v>
      </c>
      <c r="J39" s="144">
        <v>0</v>
      </c>
      <c r="K39" s="148">
        <v>0</v>
      </c>
      <c r="L39" s="165">
        <v>0</v>
      </c>
      <c r="M39" s="150"/>
      <c r="N39" s="103" t="str">
        <f t="shared" si="6"/>
        <v/>
      </c>
      <c r="O39" s="151" t="str">
        <f t="shared" si="7"/>
        <v/>
      </c>
      <c r="P39" s="152" t="str">
        <f t="shared" si="8"/>
        <v/>
      </c>
      <c r="Q39" s="146"/>
      <c r="R39" s="146"/>
      <c r="S39" s="146"/>
      <c r="T39" s="146"/>
      <c r="U39" s="146"/>
      <c r="V39" s="153" t="str">
        <f t="shared" si="9"/>
        <v/>
      </c>
      <c r="W39" s="153" t="str">
        <f t="shared" si="10"/>
        <v/>
      </c>
      <c r="X39" s="154" t="str">
        <f t="shared" si="11"/>
        <v>GOV-01GOV-01-KPI-01نسبة الالتزام بزمن تقديم الاستشارات القانونيةتشغيلينسبةكلما زاد كان أفضلربع سنويسجل يحتوي على طلبات الإستشاراتإدارة الشؤون المالية و الإدارية000</v>
      </c>
    </row>
    <row r="40" spans="1:24" s="8" customFormat="1" ht="15.75" hidden="1" customHeight="1">
      <c r="A40" s="155" t="s">
        <v>248</v>
      </c>
      <c r="B40" s="155" t="s">
        <v>249</v>
      </c>
      <c r="C40" s="156" t="s">
        <v>250</v>
      </c>
      <c r="D40" s="157" t="s">
        <v>238</v>
      </c>
      <c r="E40" s="158" t="s">
        <v>37</v>
      </c>
      <c r="F40" s="155" t="s">
        <v>30</v>
      </c>
      <c r="G40" s="156" t="s">
        <v>31</v>
      </c>
      <c r="H40" s="157" t="s">
        <v>251</v>
      </c>
      <c r="I40" s="109" t="s">
        <v>94</v>
      </c>
      <c r="J40" s="155">
        <v>0</v>
      </c>
      <c r="K40" s="159">
        <v>12</v>
      </c>
      <c r="L40" s="166">
        <v>3</v>
      </c>
      <c r="M40" s="161"/>
      <c r="N40" s="113" t="str">
        <f t="shared" si="6"/>
        <v/>
      </c>
      <c r="O40" s="162" t="str">
        <f t="shared" si="7"/>
        <v/>
      </c>
      <c r="P40" s="163" t="str">
        <f t="shared" si="8"/>
        <v/>
      </c>
      <c r="Q40" s="157"/>
      <c r="R40" s="157"/>
      <c r="S40" s="157"/>
      <c r="T40" s="157"/>
      <c r="U40" s="157"/>
      <c r="V40" s="164" t="str">
        <f t="shared" si="9"/>
        <v/>
      </c>
      <c r="W40" s="164" t="str">
        <f t="shared" si="10"/>
        <v/>
      </c>
      <c r="X40" s="154" t="str">
        <f t="shared" si="11"/>
        <v>OPS-01OPS-01-KPI-01نسبة دقة سجلات المخزونتشغيلينسبةكلما زاد كان أفضلربع سنوينموذج الجرد إدارة الشؤون المالية و الإدارية0123</v>
      </c>
    </row>
    <row r="41" spans="1:24" s="8" customFormat="1" ht="15" hidden="1" customHeight="1">
      <c r="A41" s="144" t="s">
        <v>240</v>
      </c>
      <c r="B41" s="144" t="s">
        <v>252</v>
      </c>
      <c r="C41" s="145" t="s">
        <v>253</v>
      </c>
      <c r="D41" s="146" t="s">
        <v>238</v>
      </c>
      <c r="E41" s="147" t="s">
        <v>37</v>
      </c>
      <c r="F41" s="144" t="s">
        <v>30</v>
      </c>
      <c r="G41" s="145" t="s">
        <v>31</v>
      </c>
      <c r="H41" s="146" t="s">
        <v>254</v>
      </c>
      <c r="I41" s="99" t="s">
        <v>94</v>
      </c>
      <c r="J41" s="144">
        <v>0</v>
      </c>
      <c r="K41" s="148">
        <v>0</v>
      </c>
      <c r="L41" s="167">
        <v>0</v>
      </c>
      <c r="M41" s="150"/>
      <c r="N41" s="103" t="str">
        <f t="shared" si="6"/>
        <v/>
      </c>
      <c r="O41" s="151" t="str">
        <f t="shared" si="7"/>
        <v/>
      </c>
      <c r="P41" s="152" t="str">
        <f t="shared" si="8"/>
        <v/>
      </c>
      <c r="Q41" s="146"/>
      <c r="R41" s="146"/>
      <c r="S41" s="146"/>
      <c r="T41" s="146"/>
      <c r="U41" s="146"/>
      <c r="V41" s="153" t="str">
        <f t="shared" si="9"/>
        <v/>
      </c>
      <c r="W41" s="153" t="str">
        <f t="shared" si="10"/>
        <v/>
      </c>
      <c r="X41" s="154" t="str">
        <f t="shared" si="11"/>
        <v>FIN-02FIN-02-KPI-02متوسط مدة معالجة الطلبات الماليةتشغيلينسبةكلما زاد كان أفضلربع سنويطلبات الصرف المالي في نظام خير إدارة الشؤون المالية و الإدارية000</v>
      </c>
    </row>
    <row r="42" spans="1:24" s="8" customFormat="1" ht="15" hidden="1" customHeight="1">
      <c r="A42" s="155" t="s">
        <v>255</v>
      </c>
      <c r="B42" s="155" t="s">
        <v>256</v>
      </c>
      <c r="C42" s="156" t="s">
        <v>257</v>
      </c>
      <c r="D42" s="157" t="s">
        <v>238</v>
      </c>
      <c r="E42" s="158" t="s">
        <v>37</v>
      </c>
      <c r="F42" s="155" t="s">
        <v>30</v>
      </c>
      <c r="G42" s="156" t="s">
        <v>31</v>
      </c>
      <c r="H42" s="157" t="s">
        <v>258</v>
      </c>
      <c r="I42" s="109" t="s">
        <v>94</v>
      </c>
      <c r="J42" s="155">
        <v>0</v>
      </c>
      <c r="K42" s="159">
        <v>0</v>
      </c>
      <c r="L42" s="168">
        <v>0</v>
      </c>
      <c r="M42" s="161"/>
      <c r="N42" s="113" t="str">
        <f t="shared" si="6"/>
        <v/>
      </c>
      <c r="O42" s="162" t="str">
        <f t="shared" si="7"/>
        <v/>
      </c>
      <c r="P42" s="163" t="str">
        <f t="shared" si="8"/>
        <v/>
      </c>
      <c r="Q42" s="157"/>
      <c r="R42" s="157"/>
      <c r="S42" s="157"/>
      <c r="T42" s="157"/>
      <c r="U42" s="157"/>
      <c r="V42" s="164" t="str">
        <f t="shared" si="9"/>
        <v/>
      </c>
      <c r="W42" s="164" t="str">
        <f t="shared" si="10"/>
        <v/>
      </c>
      <c r="X42" s="154" t="str">
        <f t="shared" si="11"/>
        <v>FIN-03FIN-03-KPI-01نسبة الالتزام بمعيار السلامة الماليةتشغيلينسبةكلما زاد كان أفضلربع سنويإعتماد المركز للقوائم  إدارة الشؤون المالية و الإدارية000</v>
      </c>
    </row>
    <row r="43" spans="1:24" s="8" customFormat="1" ht="15" hidden="1" customHeight="1">
      <c r="A43" s="144" t="s">
        <v>259</v>
      </c>
      <c r="B43" s="144" t="s">
        <v>260</v>
      </c>
      <c r="C43" s="145" t="s">
        <v>261</v>
      </c>
      <c r="D43" s="146" t="s">
        <v>238</v>
      </c>
      <c r="E43" s="147" t="s">
        <v>157</v>
      </c>
      <c r="F43" s="144" t="s">
        <v>30</v>
      </c>
      <c r="G43" s="145" t="s">
        <v>31</v>
      </c>
      <c r="H43" s="146" t="s">
        <v>262</v>
      </c>
      <c r="I43" s="99" t="s">
        <v>94</v>
      </c>
      <c r="J43" s="144">
        <v>0</v>
      </c>
      <c r="K43" s="148">
        <v>4</v>
      </c>
      <c r="L43" s="149">
        <v>1</v>
      </c>
      <c r="M43" s="150"/>
      <c r="N43" s="103" t="str">
        <f t="shared" si="6"/>
        <v/>
      </c>
      <c r="O43" s="151" t="str">
        <f t="shared" si="7"/>
        <v/>
      </c>
      <c r="P43" s="152" t="str">
        <f t="shared" si="8"/>
        <v/>
      </c>
      <c r="Q43" s="146"/>
      <c r="R43" s="146"/>
      <c r="S43" s="146"/>
      <c r="T43" s="146"/>
      <c r="U43" s="146"/>
      <c r="V43" s="153" t="str">
        <f t="shared" si="9"/>
        <v/>
      </c>
      <c r="W43" s="153" t="str">
        <f t="shared" si="10"/>
        <v/>
      </c>
      <c r="X43" s="154" t="str">
        <f t="shared" si="11"/>
        <v>FIN-04FIN-04-KPI-01الالتزام بإعداد وعرض التقرير المالي الربعيتشغيليعددكلما زاد كان أفضلربع سنويعرض التقرير في إجتماع الادارات إدارة الشؤون المالية و الإدارية041</v>
      </c>
    </row>
    <row r="44" spans="1:24" s="8" customFormat="1" ht="15" hidden="1" customHeight="1">
      <c r="A44" s="155" t="s">
        <v>263</v>
      </c>
      <c r="B44" s="155" t="s">
        <v>264</v>
      </c>
      <c r="C44" s="156" t="s">
        <v>265</v>
      </c>
      <c r="D44" s="157" t="s">
        <v>238</v>
      </c>
      <c r="E44" s="158" t="s">
        <v>157</v>
      </c>
      <c r="F44" s="155" t="s">
        <v>30</v>
      </c>
      <c r="G44" s="156" t="s">
        <v>31</v>
      </c>
      <c r="H44" s="157" t="s">
        <v>266</v>
      </c>
      <c r="I44" s="109" t="s">
        <v>94</v>
      </c>
      <c r="J44" s="155">
        <v>0</v>
      </c>
      <c r="K44" s="159">
        <v>2</v>
      </c>
      <c r="L44" s="160">
        <v>3.5</v>
      </c>
      <c r="M44" s="161"/>
      <c r="N44" s="113" t="str">
        <f t="shared" si="6"/>
        <v/>
      </c>
      <c r="O44" s="162" t="str">
        <f t="shared" si="7"/>
        <v/>
      </c>
      <c r="P44" s="163" t="str">
        <f t="shared" si="8"/>
        <v/>
      </c>
      <c r="Q44" s="157"/>
      <c r="R44" s="157"/>
      <c r="S44" s="157"/>
      <c r="T44" s="157"/>
      <c r="U44" s="157"/>
      <c r="V44" s="164" t="str">
        <f t="shared" si="9"/>
        <v/>
      </c>
      <c r="W44" s="164" t="str">
        <f t="shared" si="10"/>
        <v/>
      </c>
      <c r="X44" s="154" t="str">
        <f t="shared" si="11"/>
        <v>IT-01IT-01-KPI-01متوسط زمن إغلاق الطلباتتشغيليعددكلما زاد كان أفضلربع سنويمسار الطلبات في نظام خيرإدارة الشؤون المالية و الإدارية023.5</v>
      </c>
    </row>
    <row r="45" spans="1:24" s="8" customFormat="1" ht="15.75" hidden="1" customHeight="1">
      <c r="A45" s="169" t="s">
        <v>263</v>
      </c>
      <c r="B45" s="144" t="s">
        <v>267</v>
      </c>
      <c r="C45" s="145" t="s">
        <v>268</v>
      </c>
      <c r="D45" s="146" t="s">
        <v>238</v>
      </c>
      <c r="E45" s="147" t="s">
        <v>37</v>
      </c>
      <c r="F45" s="144" t="s">
        <v>30</v>
      </c>
      <c r="G45" s="145" t="s">
        <v>31</v>
      </c>
      <c r="H45" s="146" t="s">
        <v>269</v>
      </c>
      <c r="I45" s="99" t="s">
        <v>94</v>
      </c>
      <c r="J45" s="144">
        <v>0</v>
      </c>
      <c r="K45" s="212">
        <v>0.85</v>
      </c>
      <c r="L45" s="213">
        <v>0.7</v>
      </c>
      <c r="M45" s="150"/>
      <c r="N45" s="103" t="str">
        <f t="shared" si="6"/>
        <v/>
      </c>
      <c r="O45" s="151" t="str">
        <f t="shared" si="7"/>
        <v/>
      </c>
      <c r="P45" s="152" t="str">
        <f t="shared" si="8"/>
        <v/>
      </c>
      <c r="Q45" s="146"/>
      <c r="R45" s="146"/>
      <c r="S45" s="146"/>
      <c r="T45" s="146"/>
      <c r="U45" s="146"/>
      <c r="V45" s="153" t="str">
        <f t="shared" si="9"/>
        <v/>
      </c>
      <c r="W45" s="153" t="str">
        <f t="shared" si="10"/>
        <v/>
      </c>
      <c r="X45" s="154" t="str">
        <f t="shared" si="11"/>
        <v>IT-01IT-01-KPI-02نسبة الطلبات التقنية المغلقةتشغيلينسبةكلما زاد كان أفضلربع سنويتقرير الطلبات إدارة الشؤون المالية و الإدارية00.850.7</v>
      </c>
    </row>
    <row r="46" spans="1:24" s="8" customFormat="1" ht="15" hidden="1" customHeight="1">
      <c r="A46" s="155" t="s">
        <v>270</v>
      </c>
      <c r="B46" s="155" t="s">
        <v>271</v>
      </c>
      <c r="C46" s="156" t="s">
        <v>272</v>
      </c>
      <c r="D46" s="157" t="s">
        <v>238</v>
      </c>
      <c r="E46" s="158" t="s">
        <v>37</v>
      </c>
      <c r="F46" s="155" t="s">
        <v>30</v>
      </c>
      <c r="G46" s="156" t="s">
        <v>31</v>
      </c>
      <c r="H46" s="157" t="s">
        <v>269</v>
      </c>
      <c r="I46" s="109" t="s">
        <v>94</v>
      </c>
      <c r="J46" s="155">
        <v>0</v>
      </c>
      <c r="K46" s="214">
        <v>0.15</v>
      </c>
      <c r="L46" s="215">
        <v>0.25</v>
      </c>
      <c r="M46" s="161"/>
      <c r="N46" s="113" t="str">
        <f t="shared" si="6"/>
        <v/>
      </c>
      <c r="O46" s="162" t="str">
        <f t="shared" si="7"/>
        <v/>
      </c>
      <c r="P46" s="163" t="str">
        <f t="shared" si="8"/>
        <v/>
      </c>
      <c r="Q46" s="157"/>
      <c r="R46" s="157"/>
      <c r="S46" s="157"/>
      <c r="T46" s="157"/>
      <c r="U46" s="157"/>
      <c r="V46" s="164" t="str">
        <f t="shared" si="9"/>
        <v/>
      </c>
      <c r="W46" s="164" t="str">
        <f t="shared" si="10"/>
        <v/>
      </c>
      <c r="X46" s="154" t="str">
        <f t="shared" si="11"/>
        <v>IT-02IT-02-KPI-01معدل تكرار الطلبات التقنية لنفس الطلب تشغيلينسبةكلما زاد كان أفضلربع سنويتقرير الطلبات إدارة الشؤون المالية و الإدارية00.150.25</v>
      </c>
    </row>
    <row r="47" spans="1:24" s="8" customFormat="1" ht="15" hidden="1" customHeight="1">
      <c r="A47" s="144" t="s">
        <v>263</v>
      </c>
      <c r="B47" s="144" t="s">
        <v>273</v>
      </c>
      <c r="C47" s="145" t="s">
        <v>274</v>
      </c>
      <c r="D47" s="146" t="s">
        <v>238</v>
      </c>
      <c r="E47" s="147" t="s">
        <v>37</v>
      </c>
      <c r="F47" s="144" t="s">
        <v>30</v>
      </c>
      <c r="G47" s="145" t="s">
        <v>31</v>
      </c>
      <c r="H47" s="146" t="s">
        <v>275</v>
      </c>
      <c r="I47" s="99" t="s">
        <v>94</v>
      </c>
      <c r="J47" s="144">
        <v>0</v>
      </c>
      <c r="K47" s="212">
        <v>0.85</v>
      </c>
      <c r="L47" s="213">
        <v>0.7</v>
      </c>
      <c r="M47" s="150"/>
      <c r="N47" s="103" t="str">
        <f t="shared" si="6"/>
        <v/>
      </c>
      <c r="O47" s="151" t="str">
        <f t="shared" si="7"/>
        <v/>
      </c>
      <c r="P47" s="152" t="str">
        <f t="shared" si="8"/>
        <v/>
      </c>
      <c r="Q47" s="146"/>
      <c r="R47" s="146"/>
      <c r="S47" s="146"/>
      <c r="T47" s="146"/>
      <c r="U47" s="146"/>
      <c r="V47" s="153" t="str">
        <f t="shared" si="9"/>
        <v/>
      </c>
      <c r="W47" s="153" t="str">
        <f t="shared" si="10"/>
        <v/>
      </c>
      <c r="X47" s="154" t="str">
        <f t="shared" si="11"/>
        <v>IT-01IT-01-KPI-03مستوى رضا الموظفين عن الخدمات التقنيةتشغيلينسبةكلما زاد كان أفضلربع سنويتقريرجودة الخدماتإدارة الشؤون المالية و الإدارية00.850.7</v>
      </c>
    </row>
    <row r="48" spans="1:24" s="8" customFormat="1" ht="15" hidden="1" customHeight="1">
      <c r="A48" s="155" t="s">
        <v>263</v>
      </c>
      <c r="B48" s="155" t="s">
        <v>276</v>
      </c>
      <c r="C48" s="156" t="s">
        <v>277</v>
      </c>
      <c r="D48" s="157" t="s">
        <v>238</v>
      </c>
      <c r="E48" s="158" t="s">
        <v>37</v>
      </c>
      <c r="F48" s="155" t="s">
        <v>30</v>
      </c>
      <c r="G48" s="156" t="s">
        <v>31</v>
      </c>
      <c r="H48" s="157" t="s">
        <v>275</v>
      </c>
      <c r="I48" s="109" t="s">
        <v>94</v>
      </c>
      <c r="J48" s="155">
        <v>0</v>
      </c>
      <c r="K48" s="214">
        <v>0.85</v>
      </c>
      <c r="L48" s="215">
        <v>0.7</v>
      </c>
      <c r="M48" s="161"/>
      <c r="N48" s="113" t="str">
        <f t="shared" si="6"/>
        <v/>
      </c>
      <c r="O48" s="162" t="str">
        <f t="shared" si="7"/>
        <v/>
      </c>
      <c r="P48" s="163" t="str">
        <f t="shared" si="8"/>
        <v/>
      </c>
      <c r="Q48" s="157"/>
      <c r="R48" s="157"/>
      <c r="S48" s="157"/>
      <c r="T48" s="157"/>
      <c r="U48" s="157"/>
      <c r="V48" s="164" t="str">
        <f t="shared" si="9"/>
        <v/>
      </c>
      <c r="W48" s="164" t="str">
        <f t="shared" si="10"/>
        <v/>
      </c>
      <c r="X48" s="154" t="str">
        <f t="shared" si="11"/>
        <v>IT-01IT-01-KPI-04نسبة معالجة الطلبات من أول مرةتشغيلينسبةكلما زاد كان أفضلربع سنويتقريرجودة الخدماتإدارة الشؤون المالية و الإدارية00.850.7</v>
      </c>
    </row>
    <row r="49" spans="1:24" s="8" customFormat="1" ht="15" hidden="1" customHeight="1">
      <c r="A49" s="144" t="s">
        <v>263</v>
      </c>
      <c r="B49" s="144" t="s">
        <v>278</v>
      </c>
      <c r="C49" s="145" t="s">
        <v>279</v>
      </c>
      <c r="D49" s="146" t="s">
        <v>238</v>
      </c>
      <c r="E49" s="147" t="s">
        <v>157</v>
      </c>
      <c r="F49" s="144" t="s">
        <v>30</v>
      </c>
      <c r="G49" s="145" t="s">
        <v>31</v>
      </c>
      <c r="H49" s="146" t="s">
        <v>275</v>
      </c>
      <c r="I49" s="99" t="s">
        <v>94</v>
      </c>
      <c r="J49" s="144">
        <v>0</v>
      </c>
      <c r="K49" s="148">
        <v>3</v>
      </c>
      <c r="L49" s="170">
        <v>15</v>
      </c>
      <c r="M49" s="150"/>
      <c r="N49" s="103" t="str">
        <f t="shared" si="6"/>
        <v/>
      </c>
      <c r="O49" s="151" t="str">
        <f t="shared" si="7"/>
        <v/>
      </c>
      <c r="P49" s="152" t="str">
        <f t="shared" si="8"/>
        <v/>
      </c>
      <c r="Q49" s="146"/>
      <c r="R49" s="146"/>
      <c r="S49" s="146"/>
      <c r="T49" s="146"/>
      <c r="U49" s="146"/>
      <c r="V49" s="153" t="str">
        <f t="shared" si="9"/>
        <v/>
      </c>
      <c r="W49" s="153" t="str">
        <f t="shared" si="10"/>
        <v/>
      </c>
      <c r="X49" s="154" t="str">
        <f t="shared" si="11"/>
        <v>IT-01IT-01-KPI-05عدد الشكاوى التقنية المتكررةتشغيليعددكلما زاد كان أفضلربع سنويتقريرجودة الخدماتإدارة الشؤون المالية و الإدارية0315</v>
      </c>
    </row>
    <row r="50" spans="1:24" s="8" customFormat="1" ht="15" hidden="1" customHeight="1">
      <c r="A50" s="155" t="s">
        <v>270</v>
      </c>
      <c r="B50" s="155" t="s">
        <v>280</v>
      </c>
      <c r="C50" s="156" t="s">
        <v>281</v>
      </c>
      <c r="D50" s="157" t="s">
        <v>238</v>
      </c>
      <c r="E50" s="158" t="s">
        <v>37</v>
      </c>
      <c r="F50" s="155" t="s">
        <v>30</v>
      </c>
      <c r="G50" s="156" t="s">
        <v>31</v>
      </c>
      <c r="H50" s="157" t="s">
        <v>282</v>
      </c>
      <c r="I50" s="109" t="s">
        <v>94</v>
      </c>
      <c r="J50" s="155">
        <v>0</v>
      </c>
      <c r="K50" s="214">
        <v>0.85</v>
      </c>
      <c r="L50" s="204">
        <v>0.55000000000000004</v>
      </c>
      <c r="M50" s="161"/>
      <c r="N50" s="113" t="str">
        <f t="shared" si="6"/>
        <v/>
      </c>
      <c r="O50" s="162" t="str">
        <f t="shared" si="7"/>
        <v/>
      </c>
      <c r="P50" s="163" t="str">
        <f t="shared" si="8"/>
        <v/>
      </c>
      <c r="Q50" s="157"/>
      <c r="R50" s="157"/>
      <c r="S50" s="157"/>
      <c r="T50" s="157"/>
      <c r="U50" s="157"/>
      <c r="V50" s="164" t="str">
        <f t="shared" si="9"/>
        <v/>
      </c>
      <c r="W50" s="164" t="str">
        <f t="shared" si="10"/>
        <v/>
      </c>
      <c r="X50" s="154" t="str">
        <f t="shared" si="11"/>
        <v>IT-02IT-02-KPI-02نسبة الأقسام الملتزمة باستخدام الأنظمة التقنيةتشغيلينسبةكلما زاد كان أفضلربع سنويتقارير الاستخدامإدارة الشؤون المالية و الإدارية00.850.55</v>
      </c>
    </row>
    <row r="51" spans="1:24" s="8" customFormat="1" ht="15" hidden="1" customHeight="1">
      <c r="A51" s="144" t="s">
        <v>270</v>
      </c>
      <c r="B51" s="144" t="s">
        <v>283</v>
      </c>
      <c r="C51" s="145" t="s">
        <v>284</v>
      </c>
      <c r="D51" s="146" t="s">
        <v>238</v>
      </c>
      <c r="E51" s="147" t="s">
        <v>37</v>
      </c>
      <c r="F51" s="144" t="s">
        <v>30</v>
      </c>
      <c r="G51" s="145" t="s">
        <v>31</v>
      </c>
      <c r="H51" s="146" t="s">
        <v>282</v>
      </c>
      <c r="I51" s="99" t="s">
        <v>94</v>
      </c>
      <c r="J51" s="144">
        <v>0</v>
      </c>
      <c r="K51" s="212">
        <v>0.85</v>
      </c>
      <c r="L51" s="202">
        <v>0.55000000000000004</v>
      </c>
      <c r="M51" s="150"/>
      <c r="N51" s="103" t="str">
        <f t="shared" si="6"/>
        <v/>
      </c>
      <c r="O51" s="151" t="str">
        <f t="shared" si="7"/>
        <v/>
      </c>
      <c r="P51" s="152" t="str">
        <f t="shared" si="8"/>
        <v/>
      </c>
      <c r="Q51" s="146"/>
      <c r="R51" s="146"/>
      <c r="S51" s="146"/>
      <c r="T51" s="146"/>
      <c r="U51" s="146"/>
      <c r="V51" s="153" t="str">
        <f t="shared" si="9"/>
        <v/>
      </c>
      <c r="W51" s="153" t="str">
        <f t="shared" si="10"/>
        <v/>
      </c>
      <c r="X51" s="154" t="str">
        <f t="shared" si="11"/>
        <v>IT-02IT-02-KPI-03نسبة العمليات المنفذة عبر الأنظمة التقنيةتشغيلينسبةكلما زاد كان أفضلربع سنويتقارير الاستخدامإدارة الشؤون المالية و الإدارية00.850.55</v>
      </c>
    </row>
    <row r="52" spans="1:24" s="8" customFormat="1" ht="15" hidden="1" customHeight="1">
      <c r="A52" s="155" t="s">
        <v>270</v>
      </c>
      <c r="B52" s="155" t="s">
        <v>285</v>
      </c>
      <c r="C52" s="156" t="s">
        <v>286</v>
      </c>
      <c r="D52" s="157" t="s">
        <v>238</v>
      </c>
      <c r="E52" s="158" t="s">
        <v>37</v>
      </c>
      <c r="F52" s="155" t="s">
        <v>30</v>
      </c>
      <c r="G52" s="156" t="s">
        <v>31</v>
      </c>
      <c r="H52" s="157" t="s">
        <v>282</v>
      </c>
      <c r="I52" s="109" t="s">
        <v>94</v>
      </c>
      <c r="J52" s="155">
        <v>0</v>
      </c>
      <c r="K52" s="214">
        <v>0.9</v>
      </c>
      <c r="L52" s="204">
        <v>0.7</v>
      </c>
      <c r="M52" s="161"/>
      <c r="N52" s="113" t="str">
        <f t="shared" si="6"/>
        <v/>
      </c>
      <c r="O52" s="162" t="str">
        <f t="shared" si="7"/>
        <v/>
      </c>
      <c r="P52" s="163" t="str">
        <f t="shared" si="8"/>
        <v/>
      </c>
      <c r="Q52" s="157"/>
      <c r="R52" s="157"/>
      <c r="S52" s="157"/>
      <c r="T52" s="157"/>
      <c r="U52" s="157"/>
      <c r="V52" s="164" t="str">
        <f t="shared" si="9"/>
        <v/>
      </c>
      <c r="W52" s="164" t="str">
        <f t="shared" si="10"/>
        <v/>
      </c>
      <c r="X52" s="154" t="str">
        <f t="shared" si="11"/>
        <v>IT-02IT-02-KPI-04 نسبة المستخدمين النشطين للأنظمة التقنيةتشغيلينسبةكلما زاد كان أفضلربع سنويتقارير الاستخدامإدارة الشؤون المالية و الإدارية00.90.7</v>
      </c>
    </row>
    <row r="53" spans="1:24" s="8" customFormat="1" ht="15" hidden="1" customHeight="1">
      <c r="A53" s="144" t="s">
        <v>287</v>
      </c>
      <c r="B53" s="144" t="s">
        <v>288</v>
      </c>
      <c r="C53" s="145" t="s">
        <v>289</v>
      </c>
      <c r="D53" s="146" t="s">
        <v>238</v>
      </c>
      <c r="E53" s="147" t="s">
        <v>37</v>
      </c>
      <c r="F53" s="144" t="s">
        <v>30</v>
      </c>
      <c r="G53" s="145" t="s">
        <v>31</v>
      </c>
      <c r="H53" s="146" t="s">
        <v>290</v>
      </c>
      <c r="I53" s="99" t="s">
        <v>193</v>
      </c>
      <c r="J53" s="144">
        <v>0</v>
      </c>
      <c r="K53" s="148">
        <v>0</v>
      </c>
      <c r="L53" s="102">
        <v>0</v>
      </c>
      <c r="M53" s="150"/>
      <c r="N53" s="103" t="str">
        <f t="shared" si="6"/>
        <v/>
      </c>
      <c r="O53" s="151" t="str">
        <f t="shared" si="7"/>
        <v/>
      </c>
      <c r="P53" s="152" t="str">
        <f t="shared" si="8"/>
        <v/>
      </c>
      <c r="Q53" s="146"/>
      <c r="R53" s="146"/>
      <c r="S53" s="146"/>
      <c r="T53" s="146"/>
      <c r="U53" s="146"/>
      <c r="V53" s="153" t="str">
        <f t="shared" si="9"/>
        <v/>
      </c>
      <c r="W53" s="153" t="str">
        <f t="shared" si="10"/>
        <v/>
      </c>
      <c r="X53" s="154" t="str">
        <f t="shared" si="11"/>
        <v>STR-01STR-01-KPI-01مؤشر الوعي بإدارة المشاريعتشغيلينسبةكلما زاد كان أفضلربع سنوياكسل متابعة مؤشر الوعي - يحتوي على نتائج الاستبيانات - وتفاصيل المبادرات التوعويةإدارة الأداء و النمو000</v>
      </c>
    </row>
    <row r="54" spans="1:24" s="8" customFormat="1" ht="15" hidden="1" customHeight="1">
      <c r="A54" s="155" t="s">
        <v>287</v>
      </c>
      <c r="B54" s="155" t="s">
        <v>291</v>
      </c>
      <c r="C54" s="156" t="s">
        <v>292</v>
      </c>
      <c r="D54" s="157" t="s">
        <v>238</v>
      </c>
      <c r="E54" s="158" t="s">
        <v>157</v>
      </c>
      <c r="F54" s="155" t="s">
        <v>30</v>
      </c>
      <c r="G54" s="156" t="s">
        <v>31</v>
      </c>
      <c r="H54" s="157" t="s">
        <v>293</v>
      </c>
      <c r="I54" s="109" t="s">
        <v>193</v>
      </c>
      <c r="J54" s="155">
        <v>0</v>
      </c>
      <c r="K54" s="159">
        <v>0</v>
      </c>
      <c r="L54" s="171">
        <v>0</v>
      </c>
      <c r="M54" s="161"/>
      <c r="N54" s="113" t="str">
        <f t="shared" si="6"/>
        <v/>
      </c>
      <c r="O54" s="162" t="str">
        <f t="shared" si="7"/>
        <v/>
      </c>
      <c r="P54" s="163" t="str">
        <f t="shared" si="8"/>
        <v/>
      </c>
      <c r="Q54" s="157"/>
      <c r="R54" s="157"/>
      <c r="S54" s="157"/>
      <c r="T54" s="157"/>
      <c r="U54" s="157"/>
      <c r="V54" s="164" t="str">
        <f t="shared" si="9"/>
        <v/>
      </c>
      <c r="W54" s="164" t="str">
        <f t="shared" si="10"/>
        <v/>
      </c>
      <c r="X54" s="154" t="str">
        <f t="shared" si="11"/>
        <v>STR-01STR-01-KPI-02مؤشر تحقيق جودة مخرجات المشاريعتشغيليعددكلما زاد كان أفضلربع سنويملف الخطة التشغيلية الرئيسيإدارة الأداء و النمو000</v>
      </c>
    </row>
    <row r="55" spans="1:24" s="8" customFormat="1" ht="15" hidden="1" customHeight="1">
      <c r="A55" s="144" t="s">
        <v>287</v>
      </c>
      <c r="B55" s="144" t="s">
        <v>294</v>
      </c>
      <c r="C55" s="145" t="s">
        <v>295</v>
      </c>
      <c r="D55" s="146" t="s">
        <v>238</v>
      </c>
      <c r="E55" s="147" t="s">
        <v>157</v>
      </c>
      <c r="F55" s="144" t="s">
        <v>30</v>
      </c>
      <c r="G55" s="145" t="s">
        <v>31</v>
      </c>
      <c r="H55" s="146" t="s">
        <v>293</v>
      </c>
      <c r="I55" s="99" t="s">
        <v>193</v>
      </c>
      <c r="J55" s="144">
        <v>0</v>
      </c>
      <c r="K55" s="148">
        <v>0</v>
      </c>
      <c r="L55" s="102">
        <v>0</v>
      </c>
      <c r="M55" s="150"/>
      <c r="N55" s="103" t="str">
        <f t="shared" si="6"/>
        <v/>
      </c>
      <c r="O55" s="151" t="str">
        <f t="shared" si="7"/>
        <v/>
      </c>
      <c r="P55" s="152" t="str">
        <f t="shared" si="8"/>
        <v/>
      </c>
      <c r="Q55" s="146"/>
      <c r="R55" s="146"/>
      <c r="S55" s="146"/>
      <c r="T55" s="146"/>
      <c r="U55" s="146"/>
      <c r="V55" s="153" t="str">
        <f t="shared" si="9"/>
        <v/>
      </c>
      <c r="W55" s="153" t="str">
        <f t="shared" si="10"/>
        <v/>
      </c>
      <c r="X55" s="154" t="str">
        <f t="shared" si="11"/>
        <v>STR-01STR-01-KPI-03مؤشر فعالية تطبيق دليل مكتب إدارة المشاريعتشغيليعددكلما زاد كان أفضلربع سنويملف الخطة التشغيلية الرئيسيإدارة الأداء و النمو000</v>
      </c>
    </row>
    <row r="56" spans="1:24" s="8" customFormat="1" ht="15" hidden="1" customHeight="1">
      <c r="A56" s="155" t="s">
        <v>287</v>
      </c>
      <c r="B56" s="155" t="s">
        <v>296</v>
      </c>
      <c r="C56" s="156" t="s">
        <v>297</v>
      </c>
      <c r="D56" s="157" t="s">
        <v>238</v>
      </c>
      <c r="E56" s="158" t="s">
        <v>157</v>
      </c>
      <c r="F56" s="155" t="s">
        <v>30</v>
      </c>
      <c r="G56" s="156" t="s">
        <v>31</v>
      </c>
      <c r="H56" s="157" t="s">
        <v>293</v>
      </c>
      <c r="I56" s="109" t="s">
        <v>193</v>
      </c>
      <c r="J56" s="155">
        <v>0</v>
      </c>
      <c r="K56" s="159">
        <v>0</v>
      </c>
      <c r="L56" s="172">
        <v>0</v>
      </c>
      <c r="M56" s="161"/>
      <c r="N56" s="113" t="str">
        <f t="shared" si="6"/>
        <v/>
      </c>
      <c r="O56" s="162" t="str">
        <f t="shared" si="7"/>
        <v/>
      </c>
      <c r="P56" s="163" t="str">
        <f t="shared" si="8"/>
        <v/>
      </c>
      <c r="Q56" s="157"/>
      <c r="R56" s="157"/>
      <c r="S56" s="157"/>
      <c r="T56" s="157"/>
      <c r="U56" s="157"/>
      <c r="V56" s="164" t="str">
        <f t="shared" si="9"/>
        <v/>
      </c>
      <c r="W56" s="164" t="str">
        <f t="shared" si="10"/>
        <v/>
      </c>
      <c r="X56" s="154" t="str">
        <f t="shared" si="11"/>
        <v>STR-01STR-01-KPI-04نسبة المشاريع التي تم تنفيذها ضمن المدة المحددة دون تعثرتشغيليعددكلما زاد كان أفضلربع سنويملف الخطة التشغيلية الرئيسيإدارة الأداء و النمو000</v>
      </c>
    </row>
    <row r="57" spans="1:24" s="8" customFormat="1" ht="15" hidden="1" customHeight="1">
      <c r="A57" s="144" t="s">
        <v>298</v>
      </c>
      <c r="B57" s="144" t="s">
        <v>299</v>
      </c>
      <c r="C57" s="145" t="s">
        <v>300</v>
      </c>
      <c r="D57" s="146" t="s">
        <v>238</v>
      </c>
      <c r="E57" s="147" t="s">
        <v>37</v>
      </c>
      <c r="F57" s="144" t="s">
        <v>30</v>
      </c>
      <c r="G57" s="145" t="s">
        <v>31</v>
      </c>
      <c r="H57" s="146" t="s">
        <v>301</v>
      </c>
      <c r="I57" s="99" t="s">
        <v>193</v>
      </c>
      <c r="J57" s="144">
        <v>0</v>
      </c>
      <c r="K57" s="212">
        <v>1</v>
      </c>
      <c r="L57" s="213">
        <v>1</v>
      </c>
      <c r="M57" s="150"/>
      <c r="N57" s="103" t="str">
        <f t="shared" si="6"/>
        <v/>
      </c>
      <c r="O57" s="151" t="str">
        <f t="shared" si="7"/>
        <v/>
      </c>
      <c r="P57" s="152" t="str">
        <f t="shared" si="8"/>
        <v/>
      </c>
      <c r="Q57" s="146"/>
      <c r="R57" s="146"/>
      <c r="S57" s="146"/>
      <c r="T57" s="146"/>
      <c r="U57" s="146"/>
      <c r="V57" s="153" t="str">
        <f t="shared" si="9"/>
        <v/>
      </c>
      <c r="W57" s="153" t="str">
        <f t="shared" si="10"/>
        <v/>
      </c>
      <c r="X57" s="154" t="str">
        <f t="shared" si="11"/>
        <v>STR-02STR-02-KPI-01نسبة مواءمة الخطط التشغيلية مع الأهداف الاستراتيجية للجمعيةتشغيلينسبةكلما زاد كان أفضلربع سنوينسخة من الخطة التشغيلية لكل إدارة+الخطة الاستراتيجية للجمعية+ملف مواءمةإدارة الأداء و النمو011</v>
      </c>
    </row>
    <row r="58" spans="1:24" s="8" customFormat="1" ht="15" hidden="1" customHeight="1">
      <c r="A58" s="174" t="s">
        <v>302</v>
      </c>
      <c r="B58" s="174" t="s">
        <v>303</v>
      </c>
      <c r="C58" s="175" t="s">
        <v>304</v>
      </c>
      <c r="D58" s="176" t="s">
        <v>238</v>
      </c>
      <c r="E58" s="177" t="s">
        <v>37</v>
      </c>
      <c r="F58" s="174" t="s">
        <v>30</v>
      </c>
      <c r="G58" s="175" t="s">
        <v>31</v>
      </c>
      <c r="H58" s="176" t="s">
        <v>305</v>
      </c>
      <c r="I58" s="178" t="s">
        <v>193</v>
      </c>
      <c r="J58" s="174">
        <v>0</v>
      </c>
      <c r="K58" s="216">
        <v>0.7</v>
      </c>
      <c r="L58" s="217">
        <v>0.55000000000000004</v>
      </c>
      <c r="M58" s="179"/>
      <c r="N58" s="180" t="str">
        <f t="shared" si="6"/>
        <v/>
      </c>
      <c r="O58" s="181" t="str">
        <f t="shared" si="7"/>
        <v/>
      </c>
      <c r="P58" s="182" t="str">
        <f t="shared" si="8"/>
        <v/>
      </c>
      <c r="Q58" s="176"/>
      <c r="R58" s="176"/>
      <c r="S58" s="176"/>
      <c r="T58" s="176"/>
      <c r="U58" s="176"/>
      <c r="V58" s="183" t="str">
        <f t="shared" si="9"/>
        <v/>
      </c>
      <c r="W58" s="183" t="str">
        <f t="shared" si="10"/>
        <v/>
      </c>
      <c r="X58" s="154" t="str">
        <f t="shared" si="11"/>
        <v>STR-03STR-03-KPI-01نسبة التقدم في تحقيق مؤشرات الأداء المعتمدة و التشغيليةتشغيلينسبةكلما زاد كان أفضلربع سنويملف قياس الأداء الاستراتيجي والتشغيليإدارة الأداء و النمو00.70.55</v>
      </c>
    </row>
    <row r="59" spans="1:24" s="8" customFormat="1" ht="15" hidden="1" customHeight="1">
      <c r="A59" s="144" t="s">
        <v>302</v>
      </c>
      <c r="B59" s="144" t="s">
        <v>306</v>
      </c>
      <c r="C59" s="145" t="s">
        <v>307</v>
      </c>
      <c r="D59" s="146" t="s">
        <v>238</v>
      </c>
      <c r="E59" s="147" t="s">
        <v>37</v>
      </c>
      <c r="F59" s="144" t="s">
        <v>30</v>
      </c>
      <c r="G59" s="145" t="s">
        <v>31</v>
      </c>
      <c r="H59" s="146" t="s">
        <v>308</v>
      </c>
      <c r="I59" s="99" t="s">
        <v>193</v>
      </c>
      <c r="J59" s="144">
        <v>0</v>
      </c>
      <c r="K59" s="212">
        <v>1</v>
      </c>
      <c r="L59" s="213">
        <v>0.8</v>
      </c>
      <c r="M59" s="150"/>
      <c r="N59" s="103" t="str">
        <f t="shared" si="6"/>
        <v/>
      </c>
      <c r="O59" s="151" t="str">
        <f t="shared" si="7"/>
        <v/>
      </c>
      <c r="P59" s="152" t="str">
        <f t="shared" si="8"/>
        <v/>
      </c>
      <c r="Q59" s="146"/>
      <c r="R59" s="146"/>
      <c r="S59" s="146"/>
      <c r="T59" s="146"/>
      <c r="U59" s="146"/>
      <c r="V59" s="153" t="str">
        <f t="shared" si="9"/>
        <v/>
      </c>
      <c r="W59" s="153" t="str">
        <f t="shared" si="10"/>
        <v/>
      </c>
      <c r="X59" s="154" t="str">
        <f t="shared" si="11"/>
        <v>STR-03STR-03-KPI-02دقة التقارير الدورية مقارنة بالبيانات الفعليةتشغيلينسبةكلما زاد كان أفضلربع سنويالتقرير الدوري+ملف المقارنةإدارة الأداء و النمو010.8</v>
      </c>
    </row>
    <row r="60" spans="1:24" s="8" customFormat="1" ht="15" hidden="1" customHeight="1">
      <c r="A60" s="155" t="s">
        <v>302</v>
      </c>
      <c r="B60" s="155" t="s">
        <v>309</v>
      </c>
      <c r="C60" s="156" t="s">
        <v>310</v>
      </c>
      <c r="D60" s="157" t="s">
        <v>238</v>
      </c>
      <c r="E60" s="158" t="s">
        <v>37</v>
      </c>
      <c r="F60" s="155" t="s">
        <v>30</v>
      </c>
      <c r="G60" s="156" t="s">
        <v>31</v>
      </c>
      <c r="H60" s="157" t="s">
        <v>311</v>
      </c>
      <c r="I60" s="109" t="s">
        <v>193</v>
      </c>
      <c r="J60" s="155">
        <v>0</v>
      </c>
      <c r="K60" s="214">
        <v>0.6</v>
      </c>
      <c r="L60" s="215">
        <v>0.3</v>
      </c>
      <c r="M60" s="161"/>
      <c r="N60" s="113" t="str">
        <f t="shared" si="6"/>
        <v/>
      </c>
      <c r="O60" s="162" t="str">
        <f t="shared" si="7"/>
        <v/>
      </c>
      <c r="P60" s="163" t="str">
        <f t="shared" si="8"/>
        <v/>
      </c>
      <c r="Q60" s="157"/>
      <c r="R60" s="157"/>
      <c r="S60" s="157"/>
      <c r="T60" s="157"/>
      <c r="U60" s="157"/>
      <c r="V60" s="164" t="str">
        <f t="shared" si="9"/>
        <v/>
      </c>
      <c r="W60" s="164" t="str">
        <f t="shared" si="10"/>
        <v/>
      </c>
      <c r="X60" s="154" t="str">
        <f t="shared" si="11"/>
        <v>STR-03STR-03-KPI-03نسبة القرارات التنفيذية المبنية على تحليل بيانات الأداءتشغيلينسبةكلما زاد كان أفضلربع سنويمحاضر القرارات التنفيذية+التقارير/التحليلات المرتبطة بكل قرار+جدول حصر وتصنيف القراراتإدارة الأداء و النمو00.60.3</v>
      </c>
    </row>
    <row r="61" spans="1:24" s="8" customFormat="1" ht="15" hidden="1" customHeight="1">
      <c r="A61" s="144" t="s">
        <v>312</v>
      </c>
      <c r="B61" s="144" t="s">
        <v>313</v>
      </c>
      <c r="C61" s="145" t="s">
        <v>314</v>
      </c>
      <c r="D61" s="146" t="s">
        <v>238</v>
      </c>
      <c r="E61" s="147" t="s">
        <v>37</v>
      </c>
      <c r="F61" s="144" t="s">
        <v>30</v>
      </c>
      <c r="G61" s="145" t="s">
        <v>31</v>
      </c>
      <c r="H61" s="146" t="s">
        <v>315</v>
      </c>
      <c r="I61" s="99" t="s">
        <v>193</v>
      </c>
      <c r="J61" s="144">
        <v>0</v>
      </c>
      <c r="K61" s="212">
        <v>0.98</v>
      </c>
      <c r="L61" s="218">
        <v>0.98</v>
      </c>
      <c r="M61" s="150"/>
      <c r="N61" s="103" t="str">
        <f t="shared" si="6"/>
        <v/>
      </c>
      <c r="O61" s="151" t="str">
        <f t="shared" si="7"/>
        <v/>
      </c>
      <c r="P61" s="152" t="str">
        <f t="shared" si="8"/>
        <v/>
      </c>
      <c r="Q61" s="146"/>
      <c r="R61" s="146"/>
      <c r="S61" s="146"/>
      <c r="T61" s="146"/>
      <c r="U61" s="146"/>
      <c r="V61" s="153" t="str">
        <f t="shared" si="9"/>
        <v/>
      </c>
      <c r="W61" s="153" t="str">
        <f t="shared" si="10"/>
        <v/>
      </c>
      <c r="X61" s="154" t="str">
        <f t="shared" si="11"/>
        <v>GOV-02GOV-02-KPI-01إلتزام الجمعية بتطبيق معايير الحوكمةتشغيلينسبةكلما زاد كان أفضلربع سنويتقييم الحوكمة الكامل من المركز الوطني+جدول احتساب الدرجات+ملفات الشواهد لكل معيار+إثبات الاعتماد أو الرفعإدارة الأداء و النمو00.980.98</v>
      </c>
    </row>
    <row r="62" spans="1:24" s="8" customFormat="1" ht="15" hidden="1" customHeight="1">
      <c r="A62" s="155" t="s">
        <v>316</v>
      </c>
      <c r="B62" s="155" t="s">
        <v>317</v>
      </c>
      <c r="C62" s="156" t="s">
        <v>318</v>
      </c>
      <c r="D62" s="157" t="s">
        <v>238</v>
      </c>
      <c r="E62" s="158" t="s">
        <v>157</v>
      </c>
      <c r="F62" s="155" t="s">
        <v>30</v>
      </c>
      <c r="G62" s="156" t="s">
        <v>31</v>
      </c>
      <c r="H62" s="157" t="s">
        <v>319</v>
      </c>
      <c r="I62" s="109" t="s">
        <v>193</v>
      </c>
      <c r="J62" s="155">
        <v>0</v>
      </c>
      <c r="K62" s="159">
        <v>70</v>
      </c>
      <c r="L62" s="160">
        <v>10</v>
      </c>
      <c r="M62" s="161">
        <v>8</v>
      </c>
      <c r="N62" s="113" t="str">
        <f t="shared" si="6"/>
        <v/>
      </c>
      <c r="O62" s="162" t="str">
        <f t="shared" si="7"/>
        <v/>
      </c>
      <c r="P62" s="163" t="str">
        <f t="shared" si="8"/>
        <v/>
      </c>
      <c r="Q62" s="157" t="s">
        <v>320</v>
      </c>
      <c r="R62" s="157" t="s">
        <v>321</v>
      </c>
      <c r="S62" s="157" t="s">
        <v>322</v>
      </c>
      <c r="T62" s="157"/>
      <c r="U62" s="157"/>
      <c r="V62" s="164" t="str">
        <f t="shared" si="9"/>
        <v/>
      </c>
      <c r="W62" s="164" t="str">
        <f t="shared" si="10"/>
        <v/>
      </c>
      <c r="X62" s="154" t="str">
        <f t="shared" si="11"/>
        <v>HR-01HR-01-KPI-01مؤشر عدد المتدربين يكون اكثر ب 30 بالمئة من عدد مشاريع التدريبتشغيليعددكلما زاد كان أفضلربع سنويالمشاريع التدريبية+عدد المتدربين+شهادات الاجتياز+إغلاق البرامج رسميًاإدارة الأداء و النمو070108تدريب8 متدربين في مختلف الاقسام في الجمعية تم تدريب8 موظفين من أصل 10 مستهدفين للربع، وذلك نتيجة ترشيحات الإدارات وفق احتياجات العمل، إضافة إلى رغبة المتدربين في التطوير، مع مراعاة تنوع الأقسام لضمان شمولية التمثيل.https://alzaadsa-my.sharepoint.com/:b:/g/personal/hr_alzaad_org_sa/IQB_o2y0rywhQrbqbF8d2su5AcGZUGokjmjSPtG6Lf8E_tE?e=M6llze</v>
      </c>
    </row>
    <row r="63" spans="1:24" s="8" customFormat="1" ht="15" hidden="1" customHeight="1">
      <c r="A63" s="144" t="s">
        <v>323</v>
      </c>
      <c r="B63" s="144" t="s">
        <v>324</v>
      </c>
      <c r="C63" s="145" t="s">
        <v>325</v>
      </c>
      <c r="D63" s="146" t="s">
        <v>238</v>
      </c>
      <c r="E63" s="147" t="s">
        <v>37</v>
      </c>
      <c r="F63" s="144" t="s">
        <v>30</v>
      </c>
      <c r="G63" s="145" t="s">
        <v>31</v>
      </c>
      <c r="H63" s="146" t="s">
        <v>326</v>
      </c>
      <c r="I63" s="99" t="s">
        <v>193</v>
      </c>
      <c r="J63" s="144">
        <v>0</v>
      </c>
      <c r="K63" s="212">
        <v>0.7</v>
      </c>
      <c r="L63" s="213">
        <v>0.5</v>
      </c>
      <c r="M63" s="150" t="s">
        <v>327</v>
      </c>
      <c r="N63" s="103" t="str">
        <f t="shared" si="6"/>
        <v/>
      </c>
      <c r="O63" s="151" t="str">
        <f t="shared" si="7"/>
        <v/>
      </c>
      <c r="P63" s="152" t="str">
        <f t="shared" si="8"/>
        <v/>
      </c>
      <c r="Q63" s="146" t="s">
        <v>328</v>
      </c>
      <c r="R63" s="146" t="s">
        <v>329</v>
      </c>
      <c r="S63" s="146"/>
      <c r="T63" s="146"/>
      <c r="U63" s="146"/>
      <c r="V63" s="153" t="str">
        <f t="shared" si="9"/>
        <v/>
      </c>
      <c r="W63" s="153" t="str">
        <f t="shared" si="10"/>
        <v/>
      </c>
      <c r="X63" s="154" t="str">
        <f t="shared" si="11"/>
        <v>HR-02HR-02-KPI-01نسبة تطبيق خطط التطوير الفردية تشغيلينسبةكلما زاد كان أفضلربع سنويخطط التطوير الفردية+شهادات حضور دورات+مخرجات تدريب (اختبار / مشروع)+اعتماد الموارد البشرية باكتمال التنفيذإدارة الأداء و النمو00.70.504,00%لم يتم تدشين كتابة الخطة المهنية لدى الموظفين.تم ارسال النماذج لملفات الموظفين جميعا ولم تشرح طريقة التعبئة وكتابة المخطة المهنية، وتم إطلاق جزئي مع بعض الموظفين</v>
      </c>
    </row>
    <row r="64" spans="1:24" s="8" customFormat="1" ht="15" hidden="1" customHeight="1">
      <c r="A64" s="155" t="s">
        <v>330</v>
      </c>
      <c r="B64" s="155" t="s">
        <v>331</v>
      </c>
      <c r="C64" s="156" t="s">
        <v>332</v>
      </c>
      <c r="D64" s="157" t="s">
        <v>238</v>
      </c>
      <c r="E64" s="158" t="s">
        <v>37</v>
      </c>
      <c r="F64" s="155" t="s">
        <v>30</v>
      </c>
      <c r="G64" s="156" t="s">
        <v>31</v>
      </c>
      <c r="H64" s="157" t="s">
        <v>333</v>
      </c>
      <c r="I64" s="109" t="s">
        <v>193</v>
      </c>
      <c r="J64" s="155">
        <v>0</v>
      </c>
      <c r="K64" s="214">
        <v>0.9</v>
      </c>
      <c r="L64" s="215">
        <v>0.7</v>
      </c>
      <c r="M64" s="161"/>
      <c r="N64" s="113" t="str">
        <f t="shared" si="6"/>
        <v/>
      </c>
      <c r="O64" s="162" t="str">
        <f t="shared" si="7"/>
        <v/>
      </c>
      <c r="P64" s="163" t="str">
        <f t="shared" si="8"/>
        <v/>
      </c>
      <c r="Q64" s="157"/>
      <c r="R64" s="157"/>
      <c r="S64" s="157"/>
      <c r="T64" s="157"/>
      <c r="U64" s="157"/>
      <c r="V64" s="164" t="str">
        <f t="shared" si="9"/>
        <v/>
      </c>
      <c r="W64" s="164" t="str">
        <f t="shared" si="10"/>
        <v/>
      </c>
      <c r="X64" s="154" t="str">
        <f t="shared" si="11"/>
        <v>HR-03HR-03-KPI-01نسبة التزام الموظفين بساعات العمل (الحضور والانصراف)تشغيلينسبةكلما زاد كان أفضلربع سنويتقرير الحضور والانصراف للفترة (ربع سنوي)إدارة الأداء و النمو00.90.7</v>
      </c>
    </row>
    <row r="65" spans="1:24" s="8" customFormat="1" ht="15" hidden="1" customHeight="1">
      <c r="A65" s="144" t="s">
        <v>330</v>
      </c>
      <c r="B65" s="144" t="s">
        <v>334</v>
      </c>
      <c r="C65" s="145" t="s">
        <v>335</v>
      </c>
      <c r="D65" s="146" t="s">
        <v>238</v>
      </c>
      <c r="E65" s="147" t="s">
        <v>37</v>
      </c>
      <c r="F65" s="144" t="s">
        <v>30</v>
      </c>
      <c r="G65" s="145" t="s">
        <v>31</v>
      </c>
      <c r="H65" s="146" t="s">
        <v>336</v>
      </c>
      <c r="I65" s="99" t="s">
        <v>193</v>
      </c>
      <c r="J65" s="144">
        <v>0</v>
      </c>
      <c r="K65" s="212">
        <v>1</v>
      </c>
      <c r="L65" s="218">
        <v>1</v>
      </c>
      <c r="M65" s="150"/>
      <c r="N65" s="103" t="str">
        <f t="shared" ref="N65:N78" si="12">IF(AND($T65="معتمد",$L65&gt;0),$M65/$L65,"")</f>
        <v/>
      </c>
      <c r="O65" s="151" t="str">
        <f t="shared" ref="O65:O78" si="13">IF($T65="معتمد",$M65-$L65,"")</f>
        <v/>
      </c>
      <c r="P65" s="152" t="str">
        <f t="shared" ref="P65:P78" si="14">IF(AND($T65="معتمد",$L65&gt;0),($M65-$L65)/$L65,"")</f>
        <v/>
      </c>
      <c r="Q65" s="146"/>
      <c r="R65" s="146"/>
      <c r="S65" s="146"/>
      <c r="T65" s="146"/>
      <c r="U65" s="146"/>
      <c r="V65" s="153" t="str">
        <f t="shared" ref="V65:V78" si="15">IF($T65&lt;&gt;"معتمد","",IFERROR((IF(AND($T65="معتمد",$L65&gt;0),$M65,0))/(IF(AND($T65="معتمد",$L65&gt;0),$L65,0)),""))</f>
        <v/>
      </c>
      <c r="W65" s="153" t="str">
        <f t="shared" ref="W65:W78" si="16">IF(AND($T65="معتمد",$K65&gt;0),(IF($T65="معتمد",$M65,0))/$K65,"")</f>
        <v/>
      </c>
      <c r="X65" s="154" t="str">
        <f t="shared" ref="X65:X78" si="17">A65&amp;B65&amp;C65&amp;D65&amp;E65&amp;F65&amp;G65&amp;H65&amp;I65&amp;J65&amp;K65&amp;L65&amp;M65&amp;N65&amp;O65&amp;P65&amp;Q65&amp;R65&amp;S65&amp;T65&amp;U65&amp;V65&amp;W65</f>
        <v>HR-03HR-03-KPI-02نسبة الموظفين الذين تم تقييمهم وفق نظام الأداء المعتمدتشغيلينسبةكلما زاد كان أفضلربع سنويسجل تقييم الأداء للموظفين+إقفال دورة التقييم رسميًاإدارة الأداء و النمو011</v>
      </c>
    </row>
    <row r="66" spans="1:24" s="8" customFormat="1" ht="15" hidden="1" customHeight="1">
      <c r="A66" s="174" t="s">
        <v>337</v>
      </c>
      <c r="B66" s="174" t="s">
        <v>338</v>
      </c>
      <c r="C66" s="184" t="s">
        <v>339</v>
      </c>
      <c r="D66" s="176" t="s">
        <v>238</v>
      </c>
      <c r="E66" s="177" t="s">
        <v>37</v>
      </c>
      <c r="F66" s="174" t="s">
        <v>30</v>
      </c>
      <c r="G66" s="175" t="s">
        <v>31</v>
      </c>
      <c r="H66" s="176" t="s">
        <v>340</v>
      </c>
      <c r="I66" s="178" t="s">
        <v>107</v>
      </c>
      <c r="J66" s="174">
        <v>0</v>
      </c>
      <c r="K66" s="216">
        <v>0.97</v>
      </c>
      <c r="L66" s="217">
        <v>0.85</v>
      </c>
      <c r="M66" s="179">
        <v>0</v>
      </c>
      <c r="N66" s="180" t="str">
        <f t="shared" si="12"/>
        <v/>
      </c>
      <c r="O66" s="181" t="str">
        <f t="shared" si="13"/>
        <v/>
      </c>
      <c r="P66" s="182" t="str">
        <f t="shared" si="14"/>
        <v/>
      </c>
      <c r="Q66" s="176"/>
      <c r="R66" s="176"/>
      <c r="S66" s="176"/>
      <c r="T66" s="176"/>
      <c r="U66" s="176"/>
      <c r="V66" s="183" t="str">
        <f t="shared" si="15"/>
        <v/>
      </c>
      <c r="W66" s="183" t="str">
        <f t="shared" si="16"/>
        <v/>
      </c>
      <c r="X66" s="154" t="str">
        <f t="shared" si="17"/>
        <v>OPS-02OPS-02-KPI-01نسبة الالتزام بتنفيذ طلبات الفعاليات الداخلية في الوقت المعتمدتشغيلينسبةكلما زاد كان أفضلربع سنويرابط تقييم القاعةإدارة الإتصال المؤسسي00.970.850</v>
      </c>
    </row>
    <row r="67" spans="1:24" s="8" customFormat="1" ht="15" hidden="1" customHeight="1">
      <c r="A67" s="144" t="s">
        <v>341</v>
      </c>
      <c r="B67" s="144" t="s">
        <v>342</v>
      </c>
      <c r="C67" s="173" t="s">
        <v>343</v>
      </c>
      <c r="D67" s="146" t="s">
        <v>238</v>
      </c>
      <c r="E67" s="147" t="s">
        <v>37</v>
      </c>
      <c r="F67" s="144" t="s">
        <v>30</v>
      </c>
      <c r="G67" s="145" t="s">
        <v>31</v>
      </c>
      <c r="H67" s="146" t="s">
        <v>344</v>
      </c>
      <c r="I67" s="99" t="s">
        <v>107</v>
      </c>
      <c r="J67" s="144">
        <v>0</v>
      </c>
      <c r="K67" s="212">
        <v>0</v>
      </c>
      <c r="L67" s="219">
        <v>0</v>
      </c>
      <c r="M67" s="150"/>
      <c r="N67" s="103" t="str">
        <f t="shared" si="12"/>
        <v/>
      </c>
      <c r="O67" s="151" t="str">
        <f t="shared" si="13"/>
        <v/>
      </c>
      <c r="P67" s="152" t="str">
        <f t="shared" si="14"/>
        <v/>
      </c>
      <c r="Q67" s="146"/>
      <c r="R67" s="146"/>
      <c r="S67" s="233" t="s">
        <v>345</v>
      </c>
      <c r="T67" s="146"/>
      <c r="U67" s="146"/>
      <c r="V67" s="153" t="str">
        <f t="shared" si="15"/>
        <v/>
      </c>
      <c r="W67" s="153" t="str">
        <f t="shared" si="16"/>
        <v/>
      </c>
      <c r="X67" s="154" t="str">
        <f t="shared" si="17"/>
        <v>PRG-01PRG-01-KPI-01مستوى رضا المشاركين عن اللقاءات والفعالياتتشغيلينسبةكلما زاد كان أفضلربع سنوينسبة رضا الحضور إدارة الإتصال المؤسسي000https://alzaadsa-my.sharepoint.com/:b:/g/personal/abdullahalqoair_alzaad_org_sa/IQD6ZbePuo8TSo3dcpfDTbUYAe7Nl2CDH6Wn8aTkAVFHENc?e=fITmDn</v>
      </c>
    </row>
    <row r="68" spans="1:24" s="8" customFormat="1" ht="15" hidden="1" customHeight="1">
      <c r="A68" s="174" t="s">
        <v>346</v>
      </c>
      <c r="B68" s="174" t="s">
        <v>347</v>
      </c>
      <c r="C68" s="184" t="s">
        <v>348</v>
      </c>
      <c r="D68" s="176" t="s">
        <v>238</v>
      </c>
      <c r="E68" s="177" t="s">
        <v>37</v>
      </c>
      <c r="F68" s="174" t="s">
        <v>30</v>
      </c>
      <c r="G68" s="175" t="s">
        <v>31</v>
      </c>
      <c r="H68" s="176" t="s">
        <v>349</v>
      </c>
      <c r="I68" s="178" t="s">
        <v>107</v>
      </c>
      <c r="J68" s="174">
        <v>0</v>
      </c>
      <c r="K68" s="216">
        <v>0</v>
      </c>
      <c r="L68" s="220">
        <v>0</v>
      </c>
      <c r="M68" s="179"/>
      <c r="N68" s="180" t="str">
        <f t="shared" si="12"/>
        <v/>
      </c>
      <c r="O68" s="181" t="str">
        <f t="shared" si="13"/>
        <v/>
      </c>
      <c r="P68" s="182" t="str">
        <f t="shared" si="14"/>
        <v/>
      </c>
      <c r="Q68" s="176"/>
      <c r="R68" s="176"/>
      <c r="S68" s="176"/>
      <c r="T68" s="176"/>
      <c r="U68" s="176"/>
      <c r="V68" s="183" t="str">
        <f t="shared" si="15"/>
        <v/>
      </c>
      <c r="W68" s="183" t="str">
        <f t="shared" si="16"/>
        <v/>
      </c>
      <c r="X68" s="154" t="str">
        <f t="shared" si="17"/>
        <v>PRG-02PRG-02-KPI-01نسبة مشاركة سفراء الزاد في الأنشطة المعتمدةتشغيلينسبةكلما زاد كان أفضلربع سنوينسبة رضا المستفيدين إدارة الإتصال المؤسسي000</v>
      </c>
    </row>
    <row r="69" spans="1:24" s="8" customFormat="1" ht="15" hidden="1" customHeight="1">
      <c r="A69" s="144" t="s">
        <v>350</v>
      </c>
      <c r="B69" s="144" t="s">
        <v>351</v>
      </c>
      <c r="C69" s="173" t="s">
        <v>352</v>
      </c>
      <c r="D69" s="146" t="s">
        <v>238</v>
      </c>
      <c r="E69" s="147" t="s">
        <v>37</v>
      </c>
      <c r="F69" s="144" t="s">
        <v>30</v>
      </c>
      <c r="G69" s="145" t="s">
        <v>31</v>
      </c>
      <c r="H69" s="146" t="s">
        <v>353</v>
      </c>
      <c r="I69" s="99" t="s">
        <v>107</v>
      </c>
      <c r="J69" s="144">
        <v>0</v>
      </c>
      <c r="K69" s="212">
        <v>0.95</v>
      </c>
      <c r="L69" s="213">
        <v>0.9</v>
      </c>
      <c r="M69" s="150" t="s">
        <v>354</v>
      </c>
      <c r="N69" s="103" t="str">
        <f t="shared" si="12"/>
        <v/>
      </c>
      <c r="O69" s="151" t="str">
        <f t="shared" si="13"/>
        <v/>
      </c>
      <c r="P69" s="152" t="str">
        <f t="shared" si="14"/>
        <v/>
      </c>
      <c r="Q69" s="146" t="s">
        <v>355</v>
      </c>
      <c r="R69" s="146" t="s">
        <v>356</v>
      </c>
      <c r="S69" s="146" t="s">
        <v>357</v>
      </c>
      <c r="T69" s="146"/>
      <c r="U69" s="146"/>
      <c r="V69" s="153" t="str">
        <f t="shared" si="15"/>
        <v/>
      </c>
      <c r="W69" s="153" t="str">
        <f t="shared" si="16"/>
        <v/>
      </c>
      <c r="X69" s="154" t="str">
        <f t="shared" si="17"/>
        <v>COM-01COM-01-KPI-01نسبة إنجاز المحتوى وفق خطة النشرتشغيلينسبةكلما زاد كان أفضلربع سنويخطة النشر إدارة الإتصال المؤسسي00.950.959,00%النسبة أقل من المستهدف عدم وجود خطة نشر واضحة وعدم مشاركة الادارات الأخرى في التسجيل في الخطة https://alzaadsa-my.sharepoint.com/:x:/g/personal/sofyanalmansour_alzaad_org_sa/IQDyhinXGmqrQ5Tqza9nt3oCAYMXLLsNJCDRIEIVlfRR9rw?e=uLgEhJ</v>
      </c>
    </row>
    <row r="70" spans="1:24" s="8" customFormat="1" ht="15" hidden="1" customHeight="1">
      <c r="A70" s="155" t="s">
        <v>358</v>
      </c>
      <c r="B70" s="155" t="s">
        <v>359</v>
      </c>
      <c r="C70" s="187" t="s">
        <v>360</v>
      </c>
      <c r="D70" s="157" t="s">
        <v>238</v>
      </c>
      <c r="E70" s="158" t="s">
        <v>37</v>
      </c>
      <c r="F70" s="155" t="s">
        <v>30</v>
      </c>
      <c r="G70" s="156" t="s">
        <v>31</v>
      </c>
      <c r="H70" s="157" t="s">
        <v>361</v>
      </c>
      <c r="I70" s="109" t="s">
        <v>107</v>
      </c>
      <c r="J70" s="155">
        <v>0</v>
      </c>
      <c r="K70" s="214">
        <v>0.95</v>
      </c>
      <c r="L70" s="215">
        <v>0.9</v>
      </c>
      <c r="M70" s="161" t="s">
        <v>362</v>
      </c>
      <c r="N70" s="113" t="str">
        <f t="shared" si="12"/>
        <v/>
      </c>
      <c r="O70" s="162" t="str">
        <f t="shared" si="13"/>
        <v/>
      </c>
      <c r="P70" s="163" t="str">
        <f t="shared" si="14"/>
        <v/>
      </c>
      <c r="Q70" s="157" t="s">
        <v>355</v>
      </c>
      <c r="R70" s="157" t="s">
        <v>363</v>
      </c>
      <c r="S70" s="157" t="s">
        <v>364</v>
      </c>
      <c r="T70" s="157"/>
      <c r="U70" s="157"/>
      <c r="V70" s="164" t="str">
        <f t="shared" si="15"/>
        <v/>
      </c>
      <c r="W70" s="164" t="str">
        <f t="shared" si="16"/>
        <v/>
      </c>
      <c r="X70" s="154" t="str">
        <f t="shared" si="17"/>
        <v>COM-02COM-02-KPI-01نسبة الالتزام بزمن تنفيذ الطلبات الإعلاميةتشغيلينسبةكلما زاد كان أفضلربع سنويالطلبات الاعلامية إدارة الإتصال المؤسسي00.950.950,00%النسبة أقل من المستهدف نزول النسبة لأننا  بالبداية لم نضبط طريقة تسجيل الطلبات وبسبب كثرة الطلبات الاعلامية في الفترة السابقة https://alzaadsa-my.sharepoint.com/:x:/g/personal/nmo_esnad_alzaad_org_sa/IQCPXR5Foh2sSKxlcs7zl4GDAeGE0dEGUNH-rJwwV-8YZMk?e=Upt9ol</v>
      </c>
    </row>
    <row r="71" spans="1:24" s="8" customFormat="1" ht="15.75" hidden="1" customHeight="1">
      <c r="A71" s="144" t="s">
        <v>365</v>
      </c>
      <c r="B71" s="144" t="s">
        <v>366</v>
      </c>
      <c r="C71" s="173" t="s">
        <v>367</v>
      </c>
      <c r="D71" s="146" t="s">
        <v>238</v>
      </c>
      <c r="E71" s="147" t="s">
        <v>157</v>
      </c>
      <c r="F71" s="144" t="s">
        <v>30</v>
      </c>
      <c r="G71" s="145" t="s">
        <v>31</v>
      </c>
      <c r="H71" s="146" t="s">
        <v>368</v>
      </c>
      <c r="I71" s="99" t="s">
        <v>107</v>
      </c>
      <c r="J71" s="144">
        <v>0</v>
      </c>
      <c r="K71" s="148">
        <v>0</v>
      </c>
      <c r="L71" s="185">
        <v>0</v>
      </c>
      <c r="M71" s="150"/>
      <c r="N71" s="103" t="str">
        <f t="shared" si="12"/>
        <v/>
      </c>
      <c r="O71" s="151" t="str">
        <f t="shared" si="13"/>
        <v/>
      </c>
      <c r="P71" s="152" t="str">
        <f t="shared" si="14"/>
        <v/>
      </c>
      <c r="Q71" s="146"/>
      <c r="R71" s="146"/>
      <c r="S71" s="146"/>
      <c r="T71" s="146"/>
      <c r="U71" s="146"/>
      <c r="V71" s="153" t="str">
        <f t="shared" si="15"/>
        <v/>
      </c>
      <c r="W71" s="153" t="str">
        <f t="shared" si="16"/>
        <v/>
      </c>
      <c r="X71" s="154" t="str">
        <f t="shared" si="17"/>
        <v>PRT-01PRT-01-KPI-01عدد الشراكات الجديدة الفاعلةتشغيليعددكلما زاد كان أفضلربع سنويعقود الشراكاتإدارة الإتصال المؤسسي000</v>
      </c>
    </row>
    <row r="72" spans="1:24" s="8" customFormat="1" ht="15.75" hidden="1" customHeight="1">
      <c r="A72" s="155" t="s">
        <v>365</v>
      </c>
      <c r="B72" s="155" t="s">
        <v>369</v>
      </c>
      <c r="C72" s="187" t="s">
        <v>370</v>
      </c>
      <c r="D72" s="157" t="s">
        <v>238</v>
      </c>
      <c r="E72" s="158" t="s">
        <v>157</v>
      </c>
      <c r="F72" s="155" t="s">
        <v>30</v>
      </c>
      <c r="G72" s="156" t="s">
        <v>31</v>
      </c>
      <c r="H72" s="157" t="s">
        <v>371</v>
      </c>
      <c r="I72" s="109" t="s">
        <v>107</v>
      </c>
      <c r="J72" s="155">
        <v>0</v>
      </c>
      <c r="K72" s="159">
        <v>0</v>
      </c>
      <c r="L72" s="166">
        <v>0</v>
      </c>
      <c r="M72" s="161"/>
      <c r="N72" s="113" t="str">
        <f t="shared" si="12"/>
        <v/>
      </c>
      <c r="O72" s="162" t="str">
        <f t="shared" si="13"/>
        <v/>
      </c>
      <c r="P72" s="163" t="str">
        <f t="shared" si="14"/>
        <v/>
      </c>
      <c r="Q72" s="157"/>
      <c r="R72" s="157"/>
      <c r="S72" s="157"/>
      <c r="T72" s="157"/>
      <c r="U72" s="157"/>
      <c r="V72" s="164" t="str">
        <f t="shared" si="15"/>
        <v/>
      </c>
      <c r="W72" s="164" t="str">
        <f t="shared" si="16"/>
        <v/>
      </c>
      <c r="X72" s="154" t="str">
        <f t="shared" si="17"/>
        <v>PRT-01PRT-01-KPI-02نسبة تفعيل الشراكات السابقةتشغيليعددكلما زاد كان أفضلربع سنويتقارير المتابعة الدورية لتفعيل الشراكاتإدارة الإتصال المؤسسي000</v>
      </c>
    </row>
    <row r="73" spans="1:24" s="8" customFormat="1" ht="15.75" hidden="1" customHeight="1">
      <c r="A73" s="144" t="s">
        <v>365</v>
      </c>
      <c r="B73" s="144" t="s">
        <v>372</v>
      </c>
      <c r="C73" s="173" t="s">
        <v>373</v>
      </c>
      <c r="D73" s="146" t="s">
        <v>238</v>
      </c>
      <c r="E73" s="147" t="s">
        <v>157</v>
      </c>
      <c r="F73" s="144" t="s">
        <v>30</v>
      </c>
      <c r="G73" s="145" t="s">
        <v>31</v>
      </c>
      <c r="H73" s="146" t="s">
        <v>374</v>
      </c>
      <c r="I73" s="99" t="s">
        <v>107</v>
      </c>
      <c r="J73" s="144">
        <v>0</v>
      </c>
      <c r="K73" s="148">
        <v>0</v>
      </c>
      <c r="L73" s="186">
        <v>0</v>
      </c>
      <c r="M73" s="150"/>
      <c r="N73" s="103" t="str">
        <f t="shared" si="12"/>
        <v/>
      </c>
      <c r="O73" s="151" t="str">
        <f t="shared" si="13"/>
        <v/>
      </c>
      <c r="P73" s="152" t="str">
        <f t="shared" si="14"/>
        <v/>
      </c>
      <c r="Q73" s="146"/>
      <c r="R73" s="146"/>
      <c r="S73" s="146"/>
      <c r="T73" s="146"/>
      <c r="U73" s="146"/>
      <c r="V73" s="153" t="str">
        <f t="shared" si="15"/>
        <v/>
      </c>
      <c r="W73" s="153" t="str">
        <f t="shared" si="16"/>
        <v/>
      </c>
      <c r="X73" s="154" t="str">
        <f t="shared" si="17"/>
        <v>PRT-01PRT-01-KPI-03عدد فرص التعاون المنفذة بدون شراكة رسميةتشغيليعددكلما زاد كان أفضلربع سنويسجل التعاون المجتمعيإدارة الإتصال المؤسسي000</v>
      </c>
    </row>
    <row r="74" spans="1:24" s="8" customFormat="1" ht="15" hidden="1" customHeight="1">
      <c r="A74" s="155" t="s">
        <v>375</v>
      </c>
      <c r="B74" s="155" t="s">
        <v>376</v>
      </c>
      <c r="C74" s="156" t="s">
        <v>377</v>
      </c>
      <c r="D74" s="157" t="s">
        <v>238</v>
      </c>
      <c r="E74" s="158" t="s">
        <v>37</v>
      </c>
      <c r="F74" s="155" t="s">
        <v>30</v>
      </c>
      <c r="G74" s="156" t="s">
        <v>31</v>
      </c>
      <c r="H74" s="157" t="s">
        <v>378</v>
      </c>
      <c r="I74" s="109" t="s">
        <v>33</v>
      </c>
      <c r="J74" s="155">
        <v>0</v>
      </c>
      <c r="K74" s="221">
        <v>0.85</v>
      </c>
      <c r="L74" s="215">
        <v>0.85</v>
      </c>
      <c r="M74" s="227">
        <v>0.85</v>
      </c>
      <c r="N74" s="113" t="str">
        <f t="shared" si="12"/>
        <v/>
      </c>
      <c r="O74" s="162" t="str">
        <f t="shared" si="13"/>
        <v/>
      </c>
      <c r="P74" s="163" t="str">
        <f t="shared" si="14"/>
        <v/>
      </c>
      <c r="Q74" s="226" t="s">
        <v>379</v>
      </c>
      <c r="R74" s="226" t="s">
        <v>380</v>
      </c>
      <c r="S74" s="228" t="s">
        <v>381</v>
      </c>
      <c r="T74" s="157"/>
      <c r="U74" s="157"/>
      <c r="V74" s="164" t="str">
        <f t="shared" si="15"/>
        <v/>
      </c>
      <c r="W74" s="164" t="str">
        <f t="shared" si="16"/>
        <v/>
      </c>
      <c r="X74" s="154" t="str">
        <f t="shared" si="17"/>
        <v>EXP-02EXP-02-KPI-01نسبة البرامج أو المبادرات المنفذة بالشراكة بين جمعيتين أو أكثر من إجمالي البرامج المنفذةتشغيلينسبةكلما زاد كان أفضلربع سنويملف الأدارة -مركز إسناد ونمو إدارة الرعاية و التمكين00.850.850.85أولاً:تم أطلاق برنامج زكاة الفطر لـ جمعيات الخيرية بالمنطقة تسجيل 47 جمعية , ومن ثم تم ترشيح 22 جمعية وفق معايير معينة.
ثانياً:بناء على توجيه صاحب السمو الملكي امير منطقة القصيم لـ دعم بعض من الجمعيات لـ كسوة العيدبمبلغ وقدرة 49959 تم اعتماد 5 جمعيات وتحويل مبالغ مالية لحساباتهم البنكية.اولاً:تم عبر نشر فورمز للتسجيل ومن ثم أختيار الجمعيات المرشحة لـ زكاة الفطر ومتابعة قبولهم عن طريق إرسال خطابات رسمية .
ثانيا:تم ترشيح 5 جمعيات والتواصل معهم وطلب خطابات رسمية بعدد أفراد الاسر لديهم والبيانات الأساسية ومن ثم اعتمادها ورفع المطالبات بـ نظام خير مؤشر نسبة البرامج أو المبادرات المنفذة بالشراكة بين جمعيتين أو أكثر من أجمالي البرامج المنفذة</v>
      </c>
    </row>
    <row r="75" spans="1:24" s="8" customFormat="1" ht="15" hidden="1" customHeight="1">
      <c r="A75" s="144" t="s">
        <v>382</v>
      </c>
      <c r="B75" s="144" t="s">
        <v>383</v>
      </c>
      <c r="C75" s="145" t="s">
        <v>384</v>
      </c>
      <c r="D75" s="146" t="s">
        <v>238</v>
      </c>
      <c r="E75" s="147" t="s">
        <v>37</v>
      </c>
      <c r="F75" s="144" t="s">
        <v>30</v>
      </c>
      <c r="G75" s="145" t="s">
        <v>31</v>
      </c>
      <c r="H75" s="146" t="s">
        <v>385</v>
      </c>
      <c r="I75" s="99" t="s">
        <v>33</v>
      </c>
      <c r="J75" s="144">
        <v>0</v>
      </c>
      <c r="K75" s="222">
        <v>0.95</v>
      </c>
      <c r="L75" s="218">
        <v>0.95</v>
      </c>
      <c r="M75" s="150"/>
      <c r="N75" s="103" t="str">
        <f t="shared" si="12"/>
        <v/>
      </c>
      <c r="O75" s="151" t="str">
        <f t="shared" si="13"/>
        <v/>
      </c>
      <c r="P75" s="152" t="str">
        <f t="shared" si="14"/>
        <v/>
      </c>
      <c r="Q75" s="146"/>
      <c r="R75" s="146"/>
      <c r="S75" s="146"/>
      <c r="T75" s="146"/>
      <c r="U75" s="146"/>
      <c r="V75" s="153" t="str">
        <f t="shared" si="15"/>
        <v/>
      </c>
      <c r="W75" s="153" t="str">
        <f t="shared" si="16"/>
        <v/>
      </c>
      <c r="X75" s="154" t="str">
        <f t="shared" si="17"/>
        <v>PRG-05PRG-05-KPI-01نسبة إكتمال ودقة بيانات وملفات المستفيدين المستخدمة في البحث الإجتماعيتشغيلينسبةكلما زاد كان أفضلربع سنويملف الأدارة -البحث الأجتماعي إدارة الرعاية و التمكين00.950.95</v>
      </c>
    </row>
    <row r="76" spans="1:24" s="8" customFormat="1" ht="15" hidden="1" customHeight="1">
      <c r="A76" s="156" t="s">
        <v>386</v>
      </c>
      <c r="B76" s="155" t="s">
        <v>387</v>
      </c>
      <c r="C76" s="187" t="s">
        <v>388</v>
      </c>
      <c r="D76" s="157" t="s">
        <v>238</v>
      </c>
      <c r="E76" s="158" t="s">
        <v>37</v>
      </c>
      <c r="F76" s="155" t="s">
        <v>30</v>
      </c>
      <c r="G76" s="156" t="s">
        <v>31</v>
      </c>
      <c r="H76" s="157" t="s">
        <v>389</v>
      </c>
      <c r="I76" s="109" t="s">
        <v>62</v>
      </c>
      <c r="J76" s="155">
        <v>0</v>
      </c>
      <c r="K76" s="159">
        <v>10</v>
      </c>
      <c r="L76" s="160">
        <v>1</v>
      </c>
      <c r="M76" s="161">
        <v>2</v>
      </c>
      <c r="N76" s="113" t="str">
        <f t="shared" si="12"/>
        <v/>
      </c>
      <c r="O76" s="162" t="str">
        <f t="shared" si="13"/>
        <v/>
      </c>
      <c r="P76" s="163" t="str">
        <f t="shared" si="14"/>
        <v/>
      </c>
      <c r="Q76" s="226" t="s">
        <v>390</v>
      </c>
      <c r="R76" s="226" t="s">
        <v>391</v>
      </c>
      <c r="S76" s="234" t="s">
        <v>392</v>
      </c>
      <c r="T76" s="157"/>
      <c r="U76" s="157"/>
      <c r="V76" s="164" t="str">
        <f t="shared" si="15"/>
        <v/>
      </c>
      <c r="W76" s="164" t="str">
        <f t="shared" si="16"/>
        <v/>
      </c>
      <c r="X76" s="154" t="str">
        <f t="shared" si="17"/>
        <v>PRG-03PRG-03-KPI-01نسبة تحقيق مستهدف الاستعانة بالخبراء والكفاءات المتخصصةتشغيلينسبةكلما زاد كان أفضلربع سنويسجل حصر الخبراء والكفاءات+عقود/تكليفات+ربط بالمشاريع+مخرجات العملإدارة التكافل المجتمعي01012تم خلال الربع الأول تفعيل دور الخبراء من خلال الاستفادة من خبرات مختصين في مجال العمل التنموي، حيث تمت زيارة ميدانية لمشروع زكاة الفطر والاطلاع على تجربة تطبيقية متقدمة بإشراف خبيرين متخصصين.
أسهمت هذه المشاركة في:
	•	نقل معرفة عملية مباشرة في آليات تنفيذ زكاة الفطر (ميدانيًا وإلكترونيًا).
	•	تطوير فهم الفريق لأساليب التنظيم، الحوكمة، والتوثيق.
	•	تحسين آليات التنسيق مع الجهات الطرفية وإدارة عمليات التوزيع.
	•	الخروج بتوصيات تطويرية نوعية قابلة للتطبيق، تسهم في رفع كفاءة وجودة المشاريع.تم تحقيق ذلك من خلال:
	•	استقطاب خبراء متخصصين: الاستفادة من خبرات (2) من المختصين في المجال عبر التنسيق لزيارة ميدانية.
	•	تنظيم زيارة تطبيقية: تنفيذ زيارة لمشروع زكاة الفطر للاطلاع على التجربة الواقعية في بيئة العمل.
	•	عرض ومناقشة التجربة: استعراض تفصيلي للآليات التشغيلية، مع فتح مجال النقاش والتحليل مع الخبراء.
	•	التركيز على الجوانب الفنية: مناقشة محاور التشغيل، الحوكمة، التوثيق، والتنسيق مع الجهات ذات العلاقة.
	•	توثيق المخرجات: إعداد تقرير يتضمن أبرز الممارسات والتوصيات المقدمة من الخبراء.
	•	تحويل المعرفة إلى تحسينات: الاستفادة من التوصيات وتوجيهها نحو تطوير العمل ورفع كفاءته في المشاريع القادمةhttps://alzaadsa-my.sharepoint.com/:x:/g/personal/pmo_alzaad_org_sa/IQBwLnP-LDbwSKj_c5vfPyzRAeHe-DbbZ_M8YEtVolSWL3c?e=GGnWa6</v>
      </c>
    </row>
    <row r="77" spans="1:24" s="8" customFormat="1" ht="15" hidden="1" customHeight="1">
      <c r="A77" s="145" t="s">
        <v>393</v>
      </c>
      <c r="B77" s="144" t="s">
        <v>394</v>
      </c>
      <c r="C77" s="173" t="s">
        <v>395</v>
      </c>
      <c r="D77" s="146" t="s">
        <v>238</v>
      </c>
      <c r="E77" s="147" t="s">
        <v>37</v>
      </c>
      <c r="F77" s="144" t="s">
        <v>30</v>
      </c>
      <c r="G77" s="145" t="s">
        <v>31</v>
      </c>
      <c r="H77" s="146" t="s">
        <v>396</v>
      </c>
      <c r="I77" s="99" t="s">
        <v>62</v>
      </c>
      <c r="J77" s="144">
        <v>0</v>
      </c>
      <c r="K77" s="148">
        <v>60</v>
      </c>
      <c r="L77" s="170">
        <v>15</v>
      </c>
      <c r="M77" s="150">
        <v>20</v>
      </c>
      <c r="N77" s="103" t="str">
        <f t="shared" si="12"/>
        <v/>
      </c>
      <c r="O77" s="151" t="str">
        <f t="shared" si="13"/>
        <v/>
      </c>
      <c r="P77" s="152" t="str">
        <f t="shared" si="14"/>
        <v/>
      </c>
      <c r="Q77" s="230" t="s">
        <v>397</v>
      </c>
      <c r="R77" s="230" t="s">
        <v>398</v>
      </c>
      <c r="S77" s="233" t="s">
        <v>399</v>
      </c>
      <c r="T77" s="146"/>
      <c r="U77" s="146"/>
      <c r="V77" s="153" t="str">
        <f t="shared" si="15"/>
        <v/>
      </c>
      <c r="W77" s="153" t="str">
        <f t="shared" si="16"/>
        <v/>
      </c>
      <c r="X77" s="154" t="str">
        <f t="shared" si="17"/>
        <v>EXP-01EXP-01-KPI-01نسبة تحقيق مستهدف انتشار خدمات الإدارةتشغيلينسبةكلما زاد كان أفضلربع سنويسجل الجهات المستفيدة+أدلة تنفيذ الخدمة+ربط الجهات بالمشاريعإدارة التكافل المجتمعي0601520تم خلال الربع الأول بناء وتفعيل منظومة شراكات متنوعة شملت جهات داعمة، استراتيجية، مجتمعية، ومستفيدة، حيث بلغ عدد الجهات المشاركة أكثر من (20) جهة عبر عدة مشاريع.
أسهمت هذه الشراكات في دعم المشاريع من خلال تقديم الموارد العينية (مثل التمور)، والمشاركة في التوعية ونشر الرسائل الإعلامية، إضافة إلى الإسهام في التنفيذ الميداني وتوسيع نطاق الوصول للمستفيدين. كما لوحظ تكامل بين الجهات، حيث إن بعض الشركاء لديهم معرفة وعلاقات سابقة، مما عزز سرعة التنسيق، في حين تم استقطاب جهات جديدة لم تكن على ارتباط مسبق، مما وسّع شبكة الشراكاتتم تحقيق هذه الشراكات عبر عمل منظم ومتكامل شمل:
	•	تحديد وتصنيف الشركاء: تقسيم الجهات إلى (داعمة – استراتيجية – مجتمعية – مستفيدة) وفق طبيعة الدور المتوقع من كل جهة.
	•	بناء العلاقات والتواصل: تفعيل العلاقات السابقة، واستقطاب جهات جديدة عبر التواصل المباشر وعرض فرص المشاركة في المشاريع.
	•	توضيح الفرص والأدوار: تقديم تصور واضح لكل جهة عن دورها وإسهامها في المشروع، مما ساعد على رفع مستوى الالتزام والتفاعل.
	•	التكامل بين الشركاء: ربط بعض الجهات ببعض (مثل الجهات الداعمة مع الجهات المنفذة أو المستفيدة) لتحقيق أعلى كفاءة في الاستفادة من الموارد.
	•	التنسيق المستمر: إدارة التواصل بين الجهات أثناء التنفيذ، ومتابعة سير العمل ميدانيًا لضمان تكامل الأدوار وعدم التعارض.
	•	تعزيز الجانب التوعوي والإعلامي: الاستفادة من الشركاء في نشر الرسائل التوعوية، مما ساهم في رفع الوعي وزيادة أثر المشاريعhttps://alzaadsa-my.sharepoint.com/:x:/g/personal/pmo_alzaad_org_sa/IQDmkNEYJJcnTIiVH0N9tMJlAaZtUycDhD1pD7UAviVVD7U?e=sJ9PA3</v>
      </c>
    </row>
    <row r="78" spans="1:24" s="8" customFormat="1" ht="15" hidden="1" customHeight="1">
      <c r="A78" s="156" t="s">
        <v>400</v>
      </c>
      <c r="B78" s="155" t="s">
        <v>401</v>
      </c>
      <c r="C78" s="187" t="s">
        <v>402</v>
      </c>
      <c r="D78" s="157" t="s">
        <v>238</v>
      </c>
      <c r="E78" s="158" t="s">
        <v>157</v>
      </c>
      <c r="F78" s="155" t="s">
        <v>30</v>
      </c>
      <c r="G78" s="156" t="s">
        <v>31</v>
      </c>
      <c r="H78" s="157" t="s">
        <v>403</v>
      </c>
      <c r="I78" s="109" t="s">
        <v>62</v>
      </c>
      <c r="J78" s="155">
        <v>0</v>
      </c>
      <c r="K78" s="159">
        <v>6</v>
      </c>
      <c r="L78" s="160">
        <v>0</v>
      </c>
      <c r="M78" s="161"/>
      <c r="N78" s="113" t="str">
        <f t="shared" si="12"/>
        <v/>
      </c>
      <c r="O78" s="162" t="str">
        <f t="shared" si="13"/>
        <v/>
      </c>
      <c r="P78" s="163" t="str">
        <f t="shared" si="14"/>
        <v/>
      </c>
      <c r="Q78" s="157"/>
      <c r="R78" s="157"/>
      <c r="S78" s="157"/>
      <c r="T78" s="157"/>
      <c r="U78" s="157"/>
      <c r="V78" s="164" t="str">
        <f t="shared" si="15"/>
        <v/>
      </c>
      <c r="W78" s="164" t="str">
        <f t="shared" si="16"/>
        <v/>
      </c>
      <c r="X78" s="154" t="str">
        <f t="shared" si="17"/>
        <v>PRG-04PRG-04-KPI-01عدد المنتجات والمحتويات المعرفية المنتجةتشغيليعددكلما زاد كان أفضلربع سنويسجل المنتجات+ملفات  كل منتج+اعتماد رسمي+ربط بالمشاريعإدارة التكافل المجتمعي060</v>
      </c>
    </row>
    <row r="79" spans="1:24" s="33" customFormat="1" ht="18">
      <c r="A79" s="12"/>
      <c r="I79" s="85"/>
      <c r="K79" s="86"/>
      <c r="M79" s="86"/>
      <c r="N79" s="85"/>
      <c r="O79" s="87"/>
      <c r="P79" s="88"/>
      <c r="Q79" s="85"/>
      <c r="R79" s="85"/>
      <c r="S79" s="85"/>
      <c r="T79" s="85"/>
      <c r="U79" s="85"/>
      <c r="V79" s="89"/>
    </row>
    <row r="80" spans="1:24" s="33" customFormat="1" ht="18">
      <c r="A80" s="12"/>
      <c r="I80" s="85"/>
      <c r="K80" s="86"/>
      <c r="M80" s="86"/>
      <c r="N80" s="85"/>
      <c r="O80" s="87"/>
      <c r="P80" s="88"/>
      <c r="Q80" s="85"/>
      <c r="R80" s="85"/>
      <c r="S80" s="85"/>
      <c r="T80" s="85"/>
      <c r="U80" s="85"/>
      <c r="V80" s="89"/>
    </row>
    <row r="81" spans="1:22" s="33" customFormat="1" ht="18">
      <c r="A81" s="12"/>
      <c r="I81" s="85"/>
      <c r="K81" s="86"/>
      <c r="M81" s="86"/>
      <c r="N81" s="85"/>
      <c r="O81" s="87"/>
      <c r="P81" s="88"/>
      <c r="Q81" s="85"/>
      <c r="R81" s="85"/>
      <c r="S81" s="85"/>
      <c r="T81" s="85"/>
      <c r="U81" s="85"/>
      <c r="V81" s="89"/>
    </row>
    <row r="82" spans="1:22" ht="18"/>
  </sheetData>
  <sheetProtection sheet="1" objects="1" scenarios="1"/>
  <mergeCells count="1">
    <mergeCell ref="A1:W1"/>
  </mergeCells>
  <conditionalFormatting sqref="A2:V3 A7:V15 A4:R6 T4:V6 A75:V78 A74:R74 T74:V74 A18:V73 A16:R17 T16:V17">
    <cfRule type="expression" dxfId="175" priority="4">
      <formula>$T2="مرفوض"</formula>
    </cfRule>
    <cfRule type="expression" dxfId="174" priority="5">
      <formula>$T2="معتمد"</formula>
    </cfRule>
    <cfRule type="expression" dxfId="173" priority="6">
      <formula>$T2="تحت المراجعة"</formula>
    </cfRule>
  </conditionalFormatting>
  <conditionalFormatting sqref="AB8:AW8">
    <cfRule type="expression" dxfId="172" priority="1">
      <formula>$T5="مرفوض"</formula>
    </cfRule>
    <cfRule type="expression" dxfId="171" priority="2">
      <formula>$T5="معتمد"</formula>
    </cfRule>
    <cfRule type="expression" dxfId="170" priority="3">
      <formula>$T5="تحت المراجعة"</formula>
    </cfRule>
  </conditionalFormatting>
  <dataValidations count="2">
    <dataValidation type="list" allowBlank="1" showInputMessage="1" showErrorMessage="1" sqref="D3:D78" xr:uid="{00000000-0002-0000-0100-000000000000}">
      <formula1>"استراتيجي,تشغيلي"</formula1>
    </dataValidation>
    <dataValidation type="list" allowBlank="1" showInputMessage="1" showErrorMessage="1" sqref="T3:T78" xr:uid="{00000000-0002-0000-0100-000001000000}">
      <formula1>"تحت المراجعة,معتمد,مرفوض"</formula1>
    </dataValidation>
  </dataValidations>
  <hyperlinks>
    <hyperlink ref="S4" r:id="rId1" xr:uid="{87E5C117-C04A-4D8A-8A69-2175EA5EA8F0}"/>
    <hyperlink ref="S5" r:id="rId2" xr:uid="{AA82FD69-01F8-4B4E-A131-B8555D11ED02}"/>
    <hyperlink ref="S6" r:id="rId3" xr:uid="{39062B4B-C98F-41DA-8993-EECB4F1EED75}"/>
    <hyperlink ref="S74" r:id="rId4" xr:uid="{226766D8-D807-4BA7-876D-9BE6AA423C67}"/>
    <hyperlink ref="S16" r:id="rId5" xr:uid="{4D7D2AFB-12C6-4E6F-B45F-12C602C98CAB}"/>
    <hyperlink ref="S17" r:id="rId6" xr:uid="{7FDE874D-BCAD-4E24-9517-5E17FADBA053}"/>
    <hyperlink ref="S30" r:id="rId7" xr:uid="{3D471451-83F0-4BC1-A826-C065FE755CFD}"/>
    <hyperlink ref="S31" r:id="rId8" xr:uid="{05697CD8-D4B5-4DA5-BA4F-0924E2334A3F}"/>
    <hyperlink ref="S76" r:id="rId9" xr:uid="{7F972252-D82E-4A8D-8857-85FC029082CE}"/>
    <hyperlink ref="S77" r:id="rId10" xr:uid="{6B90BF0B-3689-483F-BF45-0A8889A5AB1D}"/>
    <hyperlink ref="S9" r:id="rId11" xr:uid="{F2AEDDFA-0601-456D-A6C3-2048A6036BB3}"/>
    <hyperlink ref="S10" r:id="rId12" xr:uid="{83F4D170-77DC-450D-AED9-4351B68483A9}"/>
    <hyperlink ref="S11" r:id="rId13" xr:uid="{D532D322-63FE-4565-9BDC-4A6E6280576E}"/>
    <hyperlink ref="S22" r:id="rId14" xr:uid="{814F619C-6BC9-479D-B7B0-C1F7832BA5DD}"/>
    <hyperlink ref="S23" r:id="rId15" xr:uid="{B16174A0-A45B-468D-8E68-A34217896114}"/>
    <hyperlink ref="S25" r:id="rId16" xr:uid="{4DF39E13-A5ED-435A-9280-DD95853A1E7A}"/>
    <hyperlink ref="S26" r:id="rId17" xr:uid="{D099B859-937B-4623-816E-4BF2A64AADD9}"/>
    <hyperlink ref="S27" r:id="rId18" xr:uid="{A18D7F1A-3CC2-4C4A-A509-C5C6BD99BC3C}"/>
    <hyperlink ref="S33" r:id="rId19" xr:uid="{5298CE23-985B-4AF5-BF72-67A7B149AF33}"/>
  </hyperlinks>
  <pageMargins left="0.7" right="0.7" top="0.75" bottom="0.75" header="0.3" footer="0.3"/>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Y80"/>
  <sheetViews>
    <sheetView rightToLeft="1" zoomScaleNormal="100" workbookViewId="0">
      <selection activeCell="A2" sqref="A2"/>
    </sheetView>
  </sheetViews>
  <sheetFormatPr defaultColWidth="9.140625" defaultRowHeight="16.899999999999999"/>
  <cols>
    <col min="1" max="1" width="9.140625" style="32" customWidth="1"/>
    <col min="2" max="2" width="9.140625" customWidth="1"/>
    <col min="3" max="3" width="35.28515625" customWidth="1"/>
    <col min="4" max="4" width="23.42578125" customWidth="1"/>
    <col min="5" max="5" width="10.42578125" style="33" customWidth="1"/>
    <col min="6" max="6" width="9.140625" customWidth="1"/>
    <col min="7" max="7" width="10.42578125" customWidth="1"/>
    <col min="8" max="8" width="37.85546875" customWidth="1"/>
    <col min="9" max="9" width="27" style="34" customWidth="1"/>
    <col min="10" max="10" width="9.85546875" customWidth="1"/>
    <col min="11" max="11" width="13.85546875" style="35" customWidth="1"/>
    <col min="12" max="12" width="15.42578125" customWidth="1"/>
    <col min="13" max="13" width="16.85546875" style="35" customWidth="1"/>
    <col min="14" max="14" width="13.85546875" style="34" customWidth="1"/>
    <col min="15" max="15" width="13.85546875" style="36" customWidth="1"/>
    <col min="16" max="16" width="13.85546875" style="37" customWidth="1"/>
    <col min="17" max="20" width="13.85546875" style="34" customWidth="1"/>
    <col min="21" max="21" width="18.5703125" style="34" customWidth="1"/>
    <col min="22" max="22" width="13.28515625" style="38" customWidth="1"/>
    <col min="23" max="23" width="13.28515625" customWidth="1"/>
    <col min="24" max="24" width="0" hidden="1" bestFit="1"/>
    <col min="25" max="26" width="9.140625" customWidth="1"/>
    <col min="27" max="27" width="15.42578125" customWidth="1"/>
    <col min="28" max="49" width="9.140625" customWidth="1"/>
    <col min="50" max="50" width="0" hidden="1"/>
    <col min="51" max="51" width="9.140625" customWidth="1"/>
  </cols>
  <sheetData>
    <row r="1" spans="1:51" ht="24" customHeight="1" thickBot="1">
      <c r="A1" s="342" t="s">
        <v>404</v>
      </c>
      <c r="B1" s="346"/>
      <c r="C1" s="346"/>
      <c r="D1" s="346"/>
      <c r="E1" s="346"/>
      <c r="F1" s="346"/>
      <c r="G1" s="346"/>
      <c r="H1" s="346"/>
      <c r="I1" s="346"/>
      <c r="J1" s="346"/>
      <c r="K1" s="346"/>
      <c r="L1" s="346"/>
      <c r="M1" s="346"/>
      <c r="N1" s="346"/>
      <c r="O1" s="346"/>
      <c r="P1" s="346"/>
      <c r="Q1" s="346"/>
      <c r="R1" s="346"/>
      <c r="S1" s="346"/>
      <c r="T1" s="346"/>
      <c r="U1" s="346"/>
      <c r="V1" s="346"/>
      <c r="W1" s="347"/>
    </row>
    <row r="2" spans="1:51" s="8" customFormat="1" ht="15" customHeight="1">
      <c r="A2" s="1" t="s">
        <v>1</v>
      </c>
      <c r="B2" s="1" t="s">
        <v>2</v>
      </c>
      <c r="C2" s="1" t="s">
        <v>66</v>
      </c>
      <c r="D2" s="1" t="s">
        <v>4</v>
      </c>
      <c r="E2" s="1" t="s">
        <v>5</v>
      </c>
      <c r="F2" s="1" t="s">
        <v>6</v>
      </c>
      <c r="G2" s="1" t="s">
        <v>7</v>
      </c>
      <c r="H2" s="1" t="s">
        <v>8</v>
      </c>
      <c r="I2" s="1" t="s">
        <v>9</v>
      </c>
      <c r="J2" s="1" t="s">
        <v>10</v>
      </c>
      <c r="K2" s="2" t="s">
        <v>11</v>
      </c>
      <c r="L2" s="3" t="s">
        <v>12</v>
      </c>
      <c r="M2" s="2" t="s">
        <v>13</v>
      </c>
      <c r="N2" s="2" t="s">
        <v>67</v>
      </c>
      <c r="O2" s="4" t="s">
        <v>68</v>
      </c>
      <c r="P2" s="5" t="s">
        <v>69</v>
      </c>
      <c r="Q2" s="1" t="s">
        <v>70</v>
      </c>
      <c r="R2" s="1" t="s">
        <v>71</v>
      </c>
      <c r="S2" s="1" t="s">
        <v>72</v>
      </c>
      <c r="T2" s="1" t="s">
        <v>20</v>
      </c>
      <c r="U2" s="6" t="s">
        <v>21</v>
      </c>
      <c r="V2" s="7" t="s">
        <v>22</v>
      </c>
      <c r="W2" s="7" t="s">
        <v>23</v>
      </c>
      <c r="X2" s="41" t="s">
        <v>24</v>
      </c>
    </row>
    <row r="3" spans="1:51" ht="18.75" customHeight="1" thickBot="1">
      <c r="A3" s="192" t="s">
        <v>25</v>
      </c>
      <c r="B3" s="9" t="s">
        <v>26</v>
      </c>
      <c r="C3" s="10" t="s">
        <v>27</v>
      </c>
      <c r="D3" s="10"/>
      <c r="E3" s="9" t="s">
        <v>29</v>
      </c>
      <c r="F3" s="9" t="s">
        <v>30</v>
      </c>
      <c r="G3" s="9" t="s">
        <v>31</v>
      </c>
      <c r="H3" s="9" t="s">
        <v>32</v>
      </c>
      <c r="I3" s="9" t="s">
        <v>33</v>
      </c>
      <c r="J3" s="9">
        <v>0</v>
      </c>
      <c r="K3" s="11">
        <v>20000</v>
      </c>
      <c r="L3" s="49">
        <v>4000</v>
      </c>
      <c r="M3" s="11"/>
      <c r="N3" s="73">
        <f t="shared" ref="N3:N34" si="0">IF(AND($T3="معتمد",$L3&gt;0),$M3/$L3,"")</f>
        <v>0</v>
      </c>
      <c r="O3" s="74">
        <f t="shared" ref="O3:O34" si="1">IF($T3="معتمد",$M3-$L3,"")</f>
        <v>-4000</v>
      </c>
      <c r="P3" s="73">
        <f t="shared" ref="P3:P34" si="2">IF(AND($T3="معتمد",$L3&gt;0),($M3-$L3)/$L3,"")</f>
        <v>-1</v>
      </c>
      <c r="Q3" s="10"/>
      <c r="R3" s="10"/>
      <c r="S3" s="10"/>
      <c r="T3" s="10" t="s">
        <v>405</v>
      </c>
      <c r="U3" s="10"/>
      <c r="V3" s="75" t="str">
        <f>IF($T3&lt;&gt;"معتمد","",IFERROR((IF(AND('قياس الأداء للربع الأول'!#REF!="معتمد",'قياس الأداء للربع الأول'!#REF!&gt;0),'قياس الأداء للربع الأول'!#REF!,0)+IF(AND('قياس الأداء للربع الثاني'!#REF!="معتمد",'قياس الأداء للربع الثاني'!#REF!&gt;0),'قياس الأداء للربع الثاني'!#REF!,0)+IF(AND($T3="معتمد",$L3&gt;0),$M3,0))/(IF(AND('قياس الأداء للربع الأول'!#REF!="معتمد",'قياس الأداء للربع الأول'!#REF!&gt;0),'قياس الأداء للربع الأول'!#REF!,0)+IF(AND('قياس الأداء للربع الثاني'!#REF!="معتمد",'قياس الأداء للربع الثاني'!#REF!&gt;0),'قياس الأداء للربع الثاني'!#REF!,0)+IF(AND($T3="معتمد",$L3&gt;0),$L3,0)),""))</f>
        <v/>
      </c>
      <c r="W3" s="75" t="e">
        <f>IF(AND($T3="معتمد",$K3&gt;0),(IF('قياس الأداء للربع الأول'!#REF!="معتمد",'قياس الأداء للربع الأول'!#REF!,0)+IF('قياس الأداء للربع الثاني'!#REF!="معتمد",'قياس الأداء للربع الثاني'!#REF!,0)+IF($T3="معتمد",$M3,0))/$K3,"")</f>
        <v>#REF!</v>
      </c>
      <c r="X3" s="40" t="e">
        <f t="shared" ref="X3:X34" si="3">A3&amp;B3&amp;C3&amp;D3&amp;E3&amp;F3&amp;G3&amp;H3&amp;I3&amp;J3&amp;K3&amp;L3&amp;M3&amp;N3&amp;O3&amp;P3&amp;Q3&amp;R3&amp;S3&amp;T3&amp;U3&amp;V3&amp;W3</f>
        <v>#REF!</v>
      </c>
    </row>
    <row r="4" spans="1:51" ht="37.5" customHeight="1" thickBot="1">
      <c r="A4" s="192" t="s">
        <v>25</v>
      </c>
      <c r="B4" s="9" t="s">
        <v>26</v>
      </c>
      <c r="C4" s="10" t="s">
        <v>27</v>
      </c>
      <c r="D4" s="10"/>
      <c r="E4" s="9" t="s">
        <v>29</v>
      </c>
      <c r="F4" s="9" t="s">
        <v>30</v>
      </c>
      <c r="G4" s="9" t="s">
        <v>31</v>
      </c>
      <c r="H4" s="9" t="s">
        <v>32</v>
      </c>
      <c r="I4" s="9" t="s">
        <v>33</v>
      </c>
      <c r="J4" s="9">
        <v>0</v>
      </c>
      <c r="K4" s="11">
        <v>20000</v>
      </c>
      <c r="L4" s="49">
        <v>4000</v>
      </c>
      <c r="M4" s="11"/>
      <c r="N4" s="73" t="str">
        <f t="shared" si="0"/>
        <v/>
      </c>
      <c r="O4" s="74" t="str">
        <f t="shared" si="1"/>
        <v/>
      </c>
      <c r="P4" s="73" t="str">
        <f t="shared" si="2"/>
        <v/>
      </c>
      <c r="Q4" s="10"/>
      <c r="R4" s="10"/>
      <c r="S4" s="10"/>
      <c r="T4" s="10" t="s">
        <v>406</v>
      </c>
      <c r="U4" s="10"/>
      <c r="V4" s="75" t="str">
        <f>IF($T4&lt;&gt;"معتمد","",IFERROR((IF(AND('قياس الأداء للربع الأول'!$T3="معتمد",'قياس الأداء للربع الأول'!$L3&gt;0),'قياس الأداء للربع الأول'!$M3,0)+IF(AND('قياس الأداء للربع الثاني'!$Q3="معتمد",'قياس الأداء للربع الثاني'!$L3&gt;0),'قياس الأداء للربع الثاني'!$M3,0)+IF(AND($T4="معتمد",$L4&gt;0),$M4,0))/(IF(AND('قياس الأداء للربع الأول'!$T3="معتمد",'قياس الأداء للربع الأول'!$L3&gt;0),'قياس الأداء للربع الأول'!$L3,0)+IF(AND('قياس الأداء للربع الثاني'!$Q3="معتمد",'قياس الأداء للربع الثاني'!$L3&gt;0),'قياس الأداء للربع الثاني'!$L3,0)+IF(AND($T4="معتمد",$L4&gt;0),$L4,0)),""))</f>
        <v/>
      </c>
      <c r="W4" s="75" t="str">
        <f>IF(AND($T4="معتمد",$K4&gt;0),(IF('قياس الأداء للربع الأول'!$T3="معتمد",'قياس الأداء للربع الأول'!$M3,0)+IF('قياس الأداء للربع الثاني'!$Q3="معتمد",'قياس الأداء للربع الثاني'!$M3,0)+IF($T4="معتمد",$M4,0))/$K4,"")</f>
        <v/>
      </c>
      <c r="X4" s="40" t="str">
        <f t="shared" si="3"/>
        <v>ع1ع1-1متوسط ما تتحصل عليه الأسرة من الجمعية ريالكلما زاد كان أفضلربع سنويتقرير مالي بالمعونات المقدمة للأسر المستفيدة وعدد الأسر المستفيدةإدارة الرعاية و التمكين0200004000تحت المراجعة</v>
      </c>
      <c r="AA4" s="39" t="s">
        <v>34</v>
      </c>
      <c r="AB4" s="72" t="s">
        <v>407</v>
      </c>
    </row>
    <row r="5" spans="1:51">
      <c r="A5" s="192" t="s">
        <v>25</v>
      </c>
      <c r="B5" s="9" t="s">
        <v>35</v>
      </c>
      <c r="C5" s="10" t="s">
        <v>36</v>
      </c>
      <c r="D5" s="10"/>
      <c r="E5" s="9" t="s">
        <v>37</v>
      </c>
      <c r="F5" s="9" t="s">
        <v>30</v>
      </c>
      <c r="G5" s="9" t="s">
        <v>31</v>
      </c>
      <c r="H5" s="9" t="s">
        <v>38</v>
      </c>
      <c r="I5" s="9" t="s">
        <v>33</v>
      </c>
      <c r="J5" s="9">
        <v>0</v>
      </c>
      <c r="K5" s="11">
        <v>0.94</v>
      </c>
      <c r="L5" s="50">
        <v>0.94</v>
      </c>
      <c r="M5" s="11"/>
      <c r="N5" s="73" t="str">
        <f t="shared" si="0"/>
        <v/>
      </c>
      <c r="O5" s="74" t="str">
        <f t="shared" si="1"/>
        <v/>
      </c>
      <c r="P5" s="73" t="str">
        <f t="shared" si="2"/>
        <v/>
      </c>
      <c r="Q5" s="13"/>
      <c r="R5" s="13"/>
      <c r="S5" s="13"/>
      <c r="T5" s="13" t="s">
        <v>406</v>
      </c>
      <c r="U5" s="13"/>
      <c r="V5" s="75" t="str">
        <f>IF($T5&lt;&gt;"معتمد","",IFERROR((IF(AND('قياس الأداء للربع الأول'!$T4="معتمد",'قياس الأداء للربع الأول'!$L4&gt;0),'قياس الأداء للربع الأول'!$M4,0)+IF(AND('قياس الأداء للربع الثاني'!$Q4="معتمد",'قياس الأداء للربع الثاني'!$L4&gt;0),'قياس الأداء للربع الثاني'!$M4,0)+IF(AND($T5="معتمد",$L5&gt;0),$M5,0))/(IF(AND('قياس الأداء للربع الأول'!$T4="معتمد",'قياس الأداء للربع الأول'!$L4&gt;0),'قياس الأداء للربع الأول'!$L4,0)+IF(AND('قياس الأداء للربع الثاني'!$Q4="معتمد",'قياس الأداء للربع الثاني'!$L4&gt;0),'قياس الأداء للربع الثاني'!$L4,0)+IF(AND($T5="معتمد",$L5&gt;0),$L5,0)),""))</f>
        <v/>
      </c>
      <c r="W5" s="75" t="str">
        <f>IF(AND($T5="معتمد",$K5&gt;0),(IF('قياس الأداء للربع الأول'!$T4="معتمد",'قياس الأداء للربع الأول'!$M4,0)+IF('قياس الأداء للربع الثاني'!$Q4="معتمد",'قياس الأداء للربع الثاني'!$M4,0)+IF($T5="معتمد",$M5,0))/$K5,"")</f>
        <v/>
      </c>
      <c r="X5" s="40" t="str">
        <f t="shared" si="3"/>
        <v>ع1ع2-1نسبة الأسر التي تم توفير الاحتياجات الضرورية لها نسبةكلما زاد كان أفضلربع سنويتقرير يصف الإحتياجات الضرورية المعرّفة في الجمعية والأسر المستفيدة منهاإدارة الرعاية و التمكين00.940.94تحت المراجعة</v>
      </c>
    </row>
    <row r="6" spans="1:51">
      <c r="A6" s="9" t="s">
        <v>42</v>
      </c>
      <c r="B6" s="9" t="s">
        <v>43</v>
      </c>
      <c r="C6" s="10" t="s">
        <v>44</v>
      </c>
      <c r="D6" s="10"/>
      <c r="E6" s="9" t="s">
        <v>45</v>
      </c>
      <c r="F6" s="9" t="s">
        <v>30</v>
      </c>
      <c r="G6" s="9" t="s">
        <v>31</v>
      </c>
      <c r="H6" s="9" t="s">
        <v>46</v>
      </c>
      <c r="I6" s="9" t="s">
        <v>33</v>
      </c>
      <c r="J6" s="9">
        <v>0</v>
      </c>
      <c r="K6" s="11">
        <v>450</v>
      </c>
      <c r="L6" s="50">
        <v>100</v>
      </c>
      <c r="M6" s="11"/>
      <c r="N6" s="73" t="str">
        <f t="shared" si="0"/>
        <v/>
      </c>
      <c r="O6" s="74" t="str">
        <f t="shared" si="1"/>
        <v/>
      </c>
      <c r="P6" s="73" t="str">
        <f t="shared" si="2"/>
        <v/>
      </c>
      <c r="Q6" s="10"/>
      <c r="R6" s="10"/>
      <c r="S6" s="10"/>
      <c r="T6" s="10"/>
      <c r="U6" s="10"/>
      <c r="V6" s="75" t="str">
        <f>IF($T6&lt;&gt;"معتمد","",IFERROR((IF(AND('قياس الأداء للربع الأول'!$T5="معتمد",'قياس الأداء للربع الأول'!$L5&gt;0),'قياس الأداء للربع الأول'!$M5,0)+IF(AND('قياس الأداء للربع الثاني'!$Q5="معتمد",'قياس الأداء للربع الثاني'!$L5&gt;0),'قياس الأداء للربع الثاني'!$M5,0)+IF(AND($T6="معتمد",$L6&gt;0),$M6,0))/(IF(AND('قياس الأداء للربع الأول'!$T5="معتمد",'قياس الأداء للربع الأول'!$L5&gt;0),'قياس الأداء للربع الأول'!$L5,0)+IF(AND('قياس الأداء للربع الثاني'!$Q5="معتمد",'قياس الأداء للربع الثاني'!$L5&gt;0),'قياس الأداء للربع الثاني'!$L5,0)+IF(AND($T6="معتمد",$L6&gt;0),$L6,0)),""))</f>
        <v/>
      </c>
      <c r="W6" s="75" t="str">
        <f>IF(AND($T6="معتمد",$K6&gt;0),(IF('قياس الأداء للربع الأول'!$T5="معتمد",'قياس الأداء للربع الأول'!$M5,0)+IF('قياس الأداء للربع الثاني'!$Q5="معتمد",'قياس الأداء للربع الثاني'!$M5,0)+IF($T6="معتمد",$M6,0))/$K6,"")</f>
        <v/>
      </c>
      <c r="X6" s="40" t="str">
        <f t="shared" si="3"/>
        <v>ع2ع1-2عدد المستفيدين الذين تم تأهيلهممستفيدكلما زاد كان أفضلربع سنويقائمة ببرامج التأهيل وعدد المستفيدين من كل برنامجإدارة الرعاية و التمكين0450100</v>
      </c>
    </row>
    <row r="7" spans="1:51" s="12" customFormat="1">
      <c r="A7" s="9" t="s">
        <v>42</v>
      </c>
      <c r="B7" s="9" t="s">
        <v>50</v>
      </c>
      <c r="C7" s="10" t="s">
        <v>408</v>
      </c>
      <c r="D7" s="10"/>
      <c r="E7" s="9" t="s">
        <v>52</v>
      </c>
      <c r="F7" s="9" t="s">
        <v>30</v>
      </c>
      <c r="G7" s="9" t="s">
        <v>31</v>
      </c>
      <c r="H7" s="9" t="s">
        <v>409</v>
      </c>
      <c r="I7" s="9" t="s">
        <v>62</v>
      </c>
      <c r="J7" s="9">
        <v>0</v>
      </c>
      <c r="K7" s="11">
        <v>50</v>
      </c>
      <c r="L7" s="50">
        <v>5</v>
      </c>
      <c r="M7" s="11"/>
      <c r="N7" s="73" t="str">
        <f t="shared" si="0"/>
        <v/>
      </c>
      <c r="O7" s="74" t="str">
        <f t="shared" si="1"/>
        <v/>
      </c>
      <c r="P7" s="73" t="str">
        <f t="shared" si="2"/>
        <v/>
      </c>
      <c r="Q7" s="10"/>
      <c r="R7" s="10"/>
      <c r="S7" s="10"/>
      <c r="T7" s="10"/>
      <c r="U7" s="10"/>
      <c r="V7" s="75" t="str">
        <f>IF($T7&lt;&gt;"معتمد","",IFERROR((IF(AND('قياس الأداء للربع الأول'!$T6="معتمد",'قياس الأداء للربع الأول'!$L6&gt;0),'قياس الأداء للربع الأول'!$M6,0)+IF(AND('قياس الأداء للربع الثاني'!$Q6="معتمد",'قياس الأداء للربع الثاني'!$L6&gt;0),'قياس الأداء للربع الثاني'!$M6,0)+IF(AND($T7="معتمد",$L7&gt;0),$M7,0))/(IF(AND('قياس الأداء للربع الأول'!$T6="معتمد",'قياس الأداء للربع الأول'!$L6&gt;0),'قياس الأداء للربع الأول'!$L6,0)+IF(AND('قياس الأداء للربع الثاني'!$Q6="معتمد",'قياس الأداء للربع الثاني'!$L6&gt;0),'قياس الأداء للربع الثاني'!$L6,0)+IF(AND($T7="معتمد",$L7&gt;0),$L7,0)),""))</f>
        <v/>
      </c>
      <c r="W7" s="75" t="str">
        <f>IF(AND($T7="معتمد",$K7&gt;0),(IF('قياس الأداء للربع الأول'!$T6="معتمد",'قياس الأداء للربع الأول'!$M6,0)+IF('قياس الأداء للربع الثاني'!$Q6="معتمد",'قياس الأداء للربع الثاني'!$M6,0)+IF($T7="معتمد",$M7,0))/$K7,"")</f>
        <v/>
      </c>
      <c r="X7" s="40" t="str">
        <f t="shared" si="3"/>
        <v>ع2ع2-2عدد الأسر التي استغنت عن خدمات الجمعياتأسرةكلما زاد كان أفضلربع سنويقائمة بمستفيدي الجمعية  والأسر التي استغنت عن خدمات الجمعيةإدارة التكافل المجتمعي0505</v>
      </c>
    </row>
    <row r="8" spans="1:51" s="12" customFormat="1">
      <c r="A8" s="9" t="s">
        <v>57</v>
      </c>
      <c r="B8" s="9" t="s">
        <v>58</v>
      </c>
      <c r="C8" s="10" t="s">
        <v>59</v>
      </c>
      <c r="D8" s="10"/>
      <c r="E8" s="9" t="s">
        <v>60</v>
      </c>
      <c r="F8" s="9" t="s">
        <v>30</v>
      </c>
      <c r="G8" s="9" t="s">
        <v>31</v>
      </c>
      <c r="H8" s="9" t="s">
        <v>61</v>
      </c>
      <c r="I8" s="9" t="s">
        <v>62</v>
      </c>
      <c r="J8" s="9">
        <v>0</v>
      </c>
      <c r="K8" s="14">
        <v>7</v>
      </c>
      <c r="L8" s="51">
        <v>0</v>
      </c>
      <c r="M8" s="14"/>
      <c r="N8" s="73" t="str">
        <f t="shared" si="0"/>
        <v/>
      </c>
      <c r="O8" s="76" t="str">
        <f t="shared" si="1"/>
        <v/>
      </c>
      <c r="P8" s="77" t="str">
        <f t="shared" si="2"/>
        <v/>
      </c>
      <c r="Q8" s="16"/>
      <c r="R8" s="16"/>
      <c r="S8" s="16"/>
      <c r="T8" s="16"/>
      <c r="U8" s="16"/>
      <c r="V8" s="75" t="str">
        <f>IF($T8&lt;&gt;"معتمد","",IFERROR((IF(AND('قياس الأداء للربع الأول'!$T7="معتمد",'قياس الأداء للربع الأول'!$L7&gt;0),'قياس الأداء للربع الأول'!$M7,0)+IF(AND('قياس الأداء للربع الثاني'!$Q7="معتمد",'قياس الأداء للربع الثاني'!$L7&gt;0),'قياس الأداء للربع الثاني'!$M7,0)+IF(AND($T8="معتمد",$L8&gt;0),$M8,0))/(IF(AND('قياس الأداء للربع الأول'!$T7="معتمد",'قياس الأداء للربع الأول'!$L7&gt;0),'قياس الأداء للربع الأول'!$L7,0)+IF(AND('قياس الأداء للربع الثاني'!$Q7="معتمد",'قياس الأداء للربع الثاني'!$L7&gt;0),'قياس الأداء للربع الثاني'!$L7,0)+IF(AND($T8="معتمد",$L8&gt;0),$L8,0)),""))</f>
        <v/>
      </c>
      <c r="W8" s="75" t="str">
        <f>IF(AND($T8="معتمد",$K8&gt;0),(IF('قياس الأداء للربع الأول'!$T7="معتمد",'قياس الأداء للربع الأول'!$M7,0)+IF('قياس الأداء للربع الثاني'!$Q7="معتمد",'قياس الأداء للربع الثاني'!$M7,0)+IF($T8="معتمد",$M8,0))/$K8,"")</f>
        <v/>
      </c>
      <c r="X8" s="40" t="str">
        <f t="shared" si="3"/>
        <v>ع3ع1-3عدد المبادرات المنفذة لحماية الأسر من مسببات الفقرمبادرةكلما زاد كان أفضلربع سنويتقرير بالمبادرات المنفذة لحماية الأسر من مسببات الفقرإدارة التكافل المجتمعي070</v>
      </c>
    </row>
    <row r="9" spans="1:51" s="12" customFormat="1">
      <c r="A9" s="9" t="s">
        <v>57</v>
      </c>
      <c r="B9" s="9" t="s">
        <v>63</v>
      </c>
      <c r="C9" s="10" t="s">
        <v>64</v>
      </c>
      <c r="D9" s="10"/>
      <c r="E9" s="9" t="s">
        <v>45</v>
      </c>
      <c r="F9" s="9" t="s">
        <v>30</v>
      </c>
      <c r="G9" s="9" t="s">
        <v>31</v>
      </c>
      <c r="H9" s="9" t="s">
        <v>65</v>
      </c>
      <c r="I9" s="9" t="s">
        <v>62</v>
      </c>
      <c r="J9" s="9">
        <v>0</v>
      </c>
      <c r="K9" s="14">
        <v>40000</v>
      </c>
      <c r="L9" s="52">
        <v>11000</v>
      </c>
      <c r="M9" s="14"/>
      <c r="N9" s="73" t="str">
        <f t="shared" si="0"/>
        <v/>
      </c>
      <c r="O9" s="76" t="str">
        <f t="shared" si="1"/>
        <v/>
      </c>
      <c r="P9" s="77" t="str">
        <f t="shared" si="2"/>
        <v/>
      </c>
      <c r="Q9" s="16"/>
      <c r="R9" s="16"/>
      <c r="S9" s="16"/>
      <c r="T9" s="16"/>
      <c r="U9" s="16"/>
      <c r="V9" s="75" t="str">
        <f>IF($T9&lt;&gt;"معتمد","",IFERROR((IF(AND('قياس الأداء للربع الأول'!$T8="معتمد",'قياس الأداء للربع الأول'!$L8&gt;0),'قياس الأداء للربع الأول'!$M8,0)+IF(AND('قياس الأداء للربع الثاني'!$Q8="معتمد",'قياس الأداء للربع الثاني'!$L8&gt;0),'قياس الأداء للربع الثاني'!$M8,0)+IF(AND($T9="معتمد",$L9&gt;0),$M9,0))/(IF(AND('قياس الأداء للربع الأول'!$T8="معتمد",'قياس الأداء للربع الأول'!$L8&gt;0),'قياس الأداء للربع الأول'!$L8,0)+IF(AND('قياس الأداء للربع الثاني'!$Q8="معتمد",'قياس الأداء للربع الثاني'!$L8&gt;0),'قياس الأداء للربع الثاني'!$L8,0)+IF(AND($T9="معتمد",$L9&gt;0),$L9,0)),""))</f>
        <v/>
      </c>
      <c r="W9" s="75" t="str">
        <f>IF(AND($T9="معتمد",$K9&gt;0),(IF('قياس الأداء للربع الأول'!$T8="معتمد",'قياس الأداء للربع الأول'!$M8,0)+IF('قياس الأداء للربع الثاني'!$Q8="معتمد",'قياس الأداء للربع الثاني'!$M8,0)+IF($T9="معتمد",$M9,0))/$K9,"")</f>
        <v/>
      </c>
      <c r="X9" s="40" t="str">
        <f t="shared" si="3"/>
        <v>ع3ع2-3عدد المستفيدين من المبادرات مستفيدكلما زاد كان أفضلربع سنويتقرير بالمبادرات المنفذة لحماية الأسر من مسببات الفقر، ونوعها وعدد المستفيدين في كل مبادرةإدارة التكافل المجتمعي04000011000</v>
      </c>
      <c r="AC9" s="42" t="s">
        <v>1</v>
      </c>
      <c r="AD9" s="42" t="s">
        <v>2</v>
      </c>
      <c r="AE9" s="42" t="s">
        <v>66</v>
      </c>
      <c r="AF9" s="42" t="s">
        <v>4</v>
      </c>
      <c r="AG9" s="42" t="s">
        <v>5</v>
      </c>
      <c r="AH9" s="42" t="s">
        <v>6</v>
      </c>
      <c r="AI9" s="42" t="s">
        <v>7</v>
      </c>
      <c r="AJ9" s="42" t="s">
        <v>8</v>
      </c>
      <c r="AK9" s="42" t="s">
        <v>9</v>
      </c>
      <c r="AL9" s="42" t="s">
        <v>10</v>
      </c>
      <c r="AM9" s="43" t="s">
        <v>11</v>
      </c>
      <c r="AN9" s="44" t="s">
        <v>12</v>
      </c>
      <c r="AO9" s="43" t="s">
        <v>13</v>
      </c>
      <c r="AP9" s="43" t="s">
        <v>67</v>
      </c>
      <c r="AQ9" s="45" t="s">
        <v>68</v>
      </c>
      <c r="AR9" s="46" t="s">
        <v>69</v>
      </c>
      <c r="AS9" s="42" t="s">
        <v>70</v>
      </c>
      <c r="AT9" s="42" t="s">
        <v>71</v>
      </c>
      <c r="AU9" s="42" t="s">
        <v>72</v>
      </c>
      <c r="AV9" s="42" t="s">
        <v>20</v>
      </c>
      <c r="AW9" s="47" t="s">
        <v>21</v>
      </c>
      <c r="AX9" s="48" t="s">
        <v>22</v>
      </c>
    </row>
    <row r="10" spans="1:51" s="12" customFormat="1">
      <c r="A10" s="9" t="s">
        <v>73</v>
      </c>
      <c r="B10" s="9" t="s">
        <v>74</v>
      </c>
      <c r="C10" s="10" t="s">
        <v>75</v>
      </c>
      <c r="D10" s="10" t="s">
        <v>238</v>
      </c>
      <c r="E10" s="9" t="s">
        <v>76</v>
      </c>
      <c r="F10" s="9" t="s">
        <v>30</v>
      </c>
      <c r="G10" s="9" t="s">
        <v>31</v>
      </c>
      <c r="H10" s="9" t="s">
        <v>77</v>
      </c>
      <c r="I10" s="9" t="s">
        <v>62</v>
      </c>
      <c r="J10" s="9">
        <v>0</v>
      </c>
      <c r="K10" s="11">
        <v>7</v>
      </c>
      <c r="L10" s="50">
        <v>0</v>
      </c>
      <c r="M10" s="11">
        <v>50</v>
      </c>
      <c r="N10" s="73" t="str">
        <f t="shared" si="0"/>
        <v/>
      </c>
      <c r="O10" s="74">
        <f t="shared" si="1"/>
        <v>50</v>
      </c>
      <c r="P10" s="73" t="str">
        <f t="shared" si="2"/>
        <v/>
      </c>
      <c r="Q10" s="10" t="s">
        <v>410</v>
      </c>
      <c r="R10" s="10" t="s">
        <v>411</v>
      </c>
      <c r="S10" s="10" t="s">
        <v>412</v>
      </c>
      <c r="T10" s="10" t="s">
        <v>405</v>
      </c>
      <c r="U10" s="10"/>
      <c r="V10" s="75" t="str">
        <f>IF($T10&lt;&gt;"معتمد","",IFERROR((IF(AND('قياس الأداء للربع الأول'!$T9="معتمد",'قياس الأداء للربع الأول'!$L9&gt;0),'قياس الأداء للربع الأول'!$M9,0)+IF(AND('قياس الأداء للربع الثاني'!$Q9="معتمد",'قياس الأداء للربع الثاني'!$L9&gt;0),'قياس الأداء للربع الثاني'!$M9,0)+IF(AND($T10="معتمد",$L10&gt;0),$M10,0))/(IF(AND('قياس الأداء للربع الأول'!$T9="معتمد",'قياس الأداء للربع الأول'!$L9&gt;0),'قياس الأداء للربع الأول'!$L9,0)+IF(AND('قياس الأداء للربع الثاني'!$Q9="معتمد",'قياس الأداء للربع الثاني'!$L9&gt;0),'قياس الأداء للربع الثاني'!$L9,0)+IF(AND($T10="معتمد",$L10&gt;0),$L10,0)),""))</f>
        <v/>
      </c>
      <c r="W10" s="75">
        <f>IF(AND($T10="معتمد",$K10&gt;0),(IF('قياس الأداء للربع الأول'!$T9="معتمد",'قياس الأداء للربع الأول'!$M9,0)+IF('قياس الأداء للربع الثاني'!$Q9="معتمد",'قياس الأداء للربع الثاني'!$M9,0)+IF($T10="معتمد",$M10,0))/$K10,"")</f>
        <v>7.1428571428571432</v>
      </c>
      <c r="X10" s="40" t="str">
        <f t="shared" si="3"/>
        <v>ع4ع1-4عدد مشاريع المشاركة المجتمعية التي نفذتها الجمعيةتشغيليمشروعكلما زاد كان أفضلربع سنويقائمة ببرامج المشاركة المجتمعية المنفذةإدارة التكافل المجتمعي0705050ادخال ادخالرابطمعتمد7.14285714285714</v>
      </c>
      <c r="AB10" s="12" t="e">
        <f t="array" ref="AB10:AX19">_xlfn._xlws.FILTER(الجدول423[],ISNUMBER(SEARCH(AA4,#REF!)),"غير موجود")</f>
        <v>#VALUE!</v>
      </c>
      <c r="AC10" s="12" t="e">
        <v>#VALUE!</v>
      </c>
      <c r="AD10" s="12" t="e">
        <v>#VALUE!</v>
      </c>
      <c r="AE10" s="12" t="e">
        <v>#VALUE!</v>
      </c>
      <c r="AF10" s="12" t="e">
        <v>#VALUE!</v>
      </c>
      <c r="AG10" s="12" t="e">
        <v>#VALUE!</v>
      </c>
      <c r="AH10" s="12" t="e">
        <v>#VALUE!</v>
      </c>
      <c r="AI10" s="12" t="e">
        <v>#VALUE!</v>
      </c>
      <c r="AJ10" s="12" t="e">
        <v>#VALUE!</v>
      </c>
      <c r="AK10" s="12" t="e">
        <v>#VALUE!</v>
      </c>
      <c r="AL10" s="12" t="e">
        <v>#VALUE!</v>
      </c>
      <c r="AM10" s="12" t="e">
        <v>#VALUE!</v>
      </c>
      <c r="AN10" s="12" t="e">
        <v>#VALUE!</v>
      </c>
      <c r="AO10" s="12" t="e">
        <v>#VALUE!</v>
      </c>
      <c r="AP10" s="12" t="e">
        <v>#VALUE!</v>
      </c>
      <c r="AQ10" s="12" t="e">
        <v>#VALUE!</v>
      </c>
      <c r="AR10" s="12" t="e">
        <v>#VALUE!</v>
      </c>
      <c r="AS10" s="12" t="e">
        <v>#VALUE!</v>
      </c>
      <c r="AT10" s="12" t="e">
        <v>#VALUE!</v>
      </c>
      <c r="AU10" s="12" t="e">
        <v>#VALUE!</v>
      </c>
      <c r="AV10" s="12" t="e">
        <v>#VALUE!</v>
      </c>
      <c r="AW10" s="12" t="e">
        <v>#VALUE!</v>
      </c>
      <c r="AX10" s="12" t="e">
        <v>#VALUE!</v>
      </c>
      <c r="AY10" s="12" t="s">
        <v>413</v>
      </c>
    </row>
    <row r="11" spans="1:51" s="12" customFormat="1">
      <c r="A11" s="9" t="s">
        <v>73</v>
      </c>
      <c r="B11" s="9" t="s">
        <v>83</v>
      </c>
      <c r="C11" s="10" t="s">
        <v>84</v>
      </c>
      <c r="D11" s="10"/>
      <c r="E11" s="9" t="s">
        <v>85</v>
      </c>
      <c r="F11" s="9" t="s">
        <v>30</v>
      </c>
      <c r="G11" s="9" t="s">
        <v>31</v>
      </c>
      <c r="H11" s="9" t="s">
        <v>86</v>
      </c>
      <c r="I11" s="9" t="s">
        <v>62</v>
      </c>
      <c r="J11" s="9">
        <v>0</v>
      </c>
      <c r="K11" s="11">
        <v>70000</v>
      </c>
      <c r="L11" s="50">
        <v>20000</v>
      </c>
      <c r="M11" s="11"/>
      <c r="N11" s="73" t="str">
        <f t="shared" si="0"/>
        <v/>
      </c>
      <c r="O11" s="74" t="str">
        <f t="shared" si="1"/>
        <v/>
      </c>
      <c r="P11" s="73" t="str">
        <f t="shared" si="2"/>
        <v/>
      </c>
      <c r="Q11" s="10"/>
      <c r="R11" s="10"/>
      <c r="S11" s="10"/>
      <c r="T11" s="10"/>
      <c r="U11" s="10"/>
      <c r="V11" s="75" t="str">
        <f>IF($T11&lt;&gt;"معتمد","",IFERROR((IF(AND('قياس الأداء للربع الأول'!$T10="معتمد",'قياس الأداء للربع الأول'!$L10&gt;0),'قياس الأداء للربع الأول'!$M10,0)+IF(AND('قياس الأداء للربع الثاني'!$Q10="معتمد",'قياس الأداء للربع الثاني'!$L10&gt;0),'قياس الأداء للربع الثاني'!$M10,0)+IF(AND($T11="معتمد",$L11&gt;0),$M11,0))/(IF(AND('قياس الأداء للربع الأول'!$T10="معتمد",'قياس الأداء للربع الأول'!$L10&gt;0),'قياس الأداء للربع الأول'!$L10,0)+IF(AND('قياس الأداء للربع الثاني'!$Q10="معتمد",'قياس الأداء للربع الثاني'!$L10&gt;0),'قياس الأداء للربع الثاني'!$L10,0)+IF(AND($T11="معتمد",$L11&gt;0),$L11,0)),""))</f>
        <v/>
      </c>
      <c r="W11" s="75" t="str">
        <f>IF(AND($T11="معتمد",$K11&gt;0),(IF('قياس الأداء للربع الأول'!$T10="معتمد",'قياس الأداء للربع الأول'!$M10,0)+IF('قياس الأداء للربع الثاني'!$Q10="معتمد",'قياس الأداء للربع الثاني'!$M10,0)+IF($T11="معتمد",$M11,0))/$K11,"")</f>
        <v/>
      </c>
      <c r="X11" s="40" t="str">
        <f t="shared" si="3"/>
        <v>ع4ع2-4عدد المشاركين من المجتمع في برامج المشاركة المجتمعيةمشارككلما زاد كان أفضلربع سنويقائمة ببرامج المشاركة المجتمعية المنفذة وعدد المشاركينإدارة التكافل المجتمعي07000020000</v>
      </c>
      <c r="AB11" s="12" t="e">
        <v>#VALUE!</v>
      </c>
      <c r="AC11" s="12" t="e">
        <v>#VALUE!</v>
      </c>
      <c r="AD11" s="12" t="e">
        <v>#VALUE!</v>
      </c>
      <c r="AE11" s="12" t="e">
        <v>#VALUE!</v>
      </c>
      <c r="AF11" s="12" t="e">
        <v>#VALUE!</v>
      </c>
      <c r="AG11" s="12" t="e">
        <v>#VALUE!</v>
      </c>
      <c r="AH11" s="12" t="e">
        <v>#VALUE!</v>
      </c>
      <c r="AI11" s="12" t="e">
        <v>#VALUE!</v>
      </c>
      <c r="AJ11" s="12" t="e">
        <v>#VALUE!</v>
      </c>
      <c r="AK11" s="12" t="e">
        <v>#VALUE!</v>
      </c>
      <c r="AL11" s="12" t="e">
        <v>#VALUE!</v>
      </c>
      <c r="AM11" s="12" t="e">
        <v>#VALUE!</v>
      </c>
      <c r="AN11" s="12" t="e">
        <v>#VALUE!</v>
      </c>
      <c r="AO11" s="12" t="e">
        <v>#VALUE!</v>
      </c>
      <c r="AP11" s="12" t="e">
        <v>#VALUE!</v>
      </c>
      <c r="AQ11" s="12" t="e">
        <v>#VALUE!</v>
      </c>
      <c r="AR11" s="12" t="e">
        <v>#VALUE!</v>
      </c>
      <c r="AS11" s="12" t="e">
        <v>#VALUE!</v>
      </c>
      <c r="AT11" s="12" t="e">
        <v>#VALUE!</v>
      </c>
      <c r="AU11" s="12" t="e">
        <v>#VALUE!</v>
      </c>
      <c r="AV11" s="12" t="e">
        <v>#VALUE!</v>
      </c>
      <c r="AW11" s="12" t="e">
        <v>#VALUE!</v>
      </c>
      <c r="AX11" s="12" t="e">
        <v>#VALUE!</v>
      </c>
      <c r="AY11" s="12" t="s">
        <v>414</v>
      </c>
    </row>
    <row r="12" spans="1:51" s="12" customFormat="1">
      <c r="A12" s="9" t="s">
        <v>90</v>
      </c>
      <c r="B12" s="9" t="s">
        <v>91</v>
      </c>
      <c r="C12" s="10" t="s">
        <v>92</v>
      </c>
      <c r="D12" s="10"/>
      <c r="E12" s="9" t="s">
        <v>29</v>
      </c>
      <c r="F12" s="9" t="s">
        <v>30</v>
      </c>
      <c r="G12" s="9" t="s">
        <v>31</v>
      </c>
      <c r="H12" s="9" t="s">
        <v>93</v>
      </c>
      <c r="I12" s="9" t="s">
        <v>94</v>
      </c>
      <c r="J12" s="9">
        <v>0</v>
      </c>
      <c r="K12" s="11">
        <v>1500000</v>
      </c>
      <c r="L12" s="50">
        <v>300000</v>
      </c>
      <c r="M12" s="11"/>
      <c r="N12" s="73" t="str">
        <f t="shared" si="0"/>
        <v/>
      </c>
      <c r="O12" s="74" t="str">
        <f t="shared" si="1"/>
        <v/>
      </c>
      <c r="P12" s="73" t="str">
        <f t="shared" si="2"/>
        <v/>
      </c>
      <c r="Q12" s="10"/>
      <c r="R12" s="10"/>
      <c r="S12" s="10"/>
      <c r="T12" s="10"/>
      <c r="U12" s="10"/>
      <c r="V12" s="75" t="str">
        <f>IF($T12&lt;&gt;"معتمد","",IFERROR((IF(AND('قياس الأداء للربع الأول'!$T11="معتمد",'قياس الأداء للربع الأول'!$L11&gt;0),'قياس الأداء للربع الأول'!$M11,0)+IF(AND('قياس الأداء للربع الثاني'!$Q11="معتمد",'قياس الأداء للربع الثاني'!$L11&gt;0),'قياس الأداء للربع الثاني'!$M11,0)+IF(AND($T12="معتمد",$L12&gt;0),$M12,0))/(IF(AND('قياس الأداء للربع الأول'!$T11="معتمد",'قياس الأداء للربع الأول'!$L11&gt;0),'قياس الأداء للربع الأول'!$L11,0)+IF(AND('قياس الأداء للربع الثاني'!$Q11="معتمد",'قياس الأداء للربع الثاني'!$L11&gt;0),'قياس الأداء للربع الثاني'!$L11,0)+IF(AND($T12="معتمد",$L12&gt;0),$L12,0)),""))</f>
        <v/>
      </c>
      <c r="W12" s="75" t="str">
        <f>IF(AND($T12="معتمد",$K12&gt;0),(IF('قياس الأداء للربع الأول'!$T11="معتمد",'قياس الأداء للربع الأول'!$M11,0)+IF('قياس الأداء للربع الثاني'!$Q11="معتمد",'قياس الأداء للربع الثاني'!$M11,0)+IF($T12="معتمد",$M12,0))/$K12,"")</f>
        <v/>
      </c>
      <c r="X12" s="40" t="str">
        <f t="shared" si="3"/>
        <v>م1م1-1صافي أرباح المصادر الثابتةريالكلما زاد كان أفضلربع سنويتقرير مالي بالإيرادات والمصروفات المالية للجمعيةإدارة الشؤون المالية و الإدارية01500000300000</v>
      </c>
      <c r="AB12" s="12" t="e">
        <v>#VALUE!</v>
      </c>
      <c r="AC12" s="12" t="e">
        <v>#VALUE!</v>
      </c>
      <c r="AD12" s="12" t="e">
        <v>#VALUE!</v>
      </c>
      <c r="AE12" s="12" t="e">
        <v>#VALUE!</v>
      </c>
      <c r="AF12" s="12" t="e">
        <v>#VALUE!</v>
      </c>
      <c r="AG12" s="12" t="e">
        <v>#VALUE!</v>
      </c>
      <c r="AH12" s="12" t="e">
        <v>#VALUE!</v>
      </c>
      <c r="AI12" s="12" t="e">
        <v>#VALUE!</v>
      </c>
      <c r="AJ12" s="12" t="e">
        <v>#VALUE!</v>
      </c>
      <c r="AK12" s="12" t="e">
        <v>#VALUE!</v>
      </c>
      <c r="AL12" s="12" t="e">
        <v>#VALUE!</v>
      </c>
      <c r="AM12" s="12" t="e">
        <v>#VALUE!</v>
      </c>
      <c r="AN12" s="12" t="e">
        <v>#VALUE!</v>
      </c>
      <c r="AO12" s="12" t="e">
        <v>#VALUE!</v>
      </c>
      <c r="AP12" s="12" t="e">
        <v>#VALUE!</v>
      </c>
      <c r="AQ12" s="12" t="e">
        <v>#VALUE!</v>
      </c>
      <c r="AR12" s="12" t="e">
        <v>#VALUE!</v>
      </c>
      <c r="AS12" s="12" t="e">
        <v>#VALUE!</v>
      </c>
      <c r="AT12" s="12" t="e">
        <v>#VALUE!</v>
      </c>
      <c r="AU12" s="12" t="e">
        <v>#VALUE!</v>
      </c>
      <c r="AV12" s="12" t="e">
        <v>#VALUE!</v>
      </c>
      <c r="AW12" s="12" t="e">
        <v>#VALUE!</v>
      </c>
      <c r="AX12" s="12" t="e">
        <v>#VALUE!</v>
      </c>
      <c r="AY12" s="12" t="s">
        <v>415</v>
      </c>
    </row>
    <row r="13" spans="1:51" s="12" customFormat="1">
      <c r="A13" s="9" t="s">
        <v>90</v>
      </c>
      <c r="B13" s="9" t="s">
        <v>98</v>
      </c>
      <c r="C13" s="10" t="s">
        <v>99</v>
      </c>
      <c r="D13" s="10"/>
      <c r="E13" s="9" t="s">
        <v>29</v>
      </c>
      <c r="F13" s="9" t="s">
        <v>30</v>
      </c>
      <c r="G13" s="9" t="s">
        <v>31</v>
      </c>
      <c r="H13" s="9" t="s">
        <v>100</v>
      </c>
      <c r="I13" s="9" t="s">
        <v>101</v>
      </c>
      <c r="J13" s="9">
        <v>0</v>
      </c>
      <c r="K13" s="11">
        <v>10350000</v>
      </c>
      <c r="L13" s="51">
        <v>0</v>
      </c>
      <c r="M13" s="11"/>
      <c r="N13" s="73" t="str">
        <f t="shared" si="0"/>
        <v/>
      </c>
      <c r="O13" s="74" t="str">
        <f t="shared" si="1"/>
        <v/>
      </c>
      <c r="P13" s="73" t="str">
        <f t="shared" si="2"/>
        <v/>
      </c>
      <c r="Q13" s="17"/>
      <c r="R13" s="17"/>
      <c r="S13" s="17"/>
      <c r="T13" s="17"/>
      <c r="U13" s="17"/>
      <c r="V13" s="75" t="str">
        <f>IF($T13&lt;&gt;"معتمد","",IFERROR((IF(AND('قياس الأداء للربع الأول'!$T12="معتمد",'قياس الأداء للربع الأول'!$L12&gt;0),'قياس الأداء للربع الأول'!$M12,0)+IF(AND('قياس الأداء للربع الثاني'!$Q12="معتمد",'قياس الأداء للربع الثاني'!$L12&gt;0),'قياس الأداء للربع الثاني'!$M12,0)+IF(AND($T13="معتمد",$L13&gt;0),$M13,0))/(IF(AND('قياس الأداء للربع الأول'!$T12="معتمد",'قياس الأداء للربع الأول'!$L12&gt;0),'قياس الأداء للربع الأول'!$L12,0)+IF(AND('قياس الأداء للربع الثاني'!$Q12="معتمد",'قياس الأداء للربع الثاني'!$L12&gt;0),'قياس الأداء للربع الثاني'!$L12,0)+IF(AND($T13="معتمد",$L13&gt;0),$L13,0)),""))</f>
        <v/>
      </c>
      <c r="W13" s="75" t="str">
        <f>IF(AND($T13="معتمد",$K13&gt;0),(IF('قياس الأداء للربع الأول'!$T12="معتمد",'قياس الأداء للربع الأول'!$M12,0)+IF('قياس الأداء للربع الثاني'!$Q12="معتمد",'قياس الأداء للربع الثاني'!$M12,0)+IF($T13="معتمد",$M13,0))/$K13,"")</f>
        <v/>
      </c>
      <c r="X13" s="40" t="str">
        <f t="shared" si="3"/>
        <v>م1م2-1صافي أرباح الاستثماراتريالكلما زاد كان أفضلربع سنويتقرير بإيرادات ومصروفات الإستثمارات الماليةإدارة الإستدامة0103500000</v>
      </c>
      <c r="AB13" s="12" t="e">
        <v>#VALUE!</v>
      </c>
      <c r="AC13" s="12" t="e">
        <v>#VALUE!</v>
      </c>
      <c r="AD13" s="12" t="e">
        <v>#VALUE!</v>
      </c>
      <c r="AE13" s="12" t="e">
        <v>#VALUE!</v>
      </c>
      <c r="AF13" s="12" t="e">
        <v>#VALUE!</v>
      </c>
      <c r="AG13" s="12" t="e">
        <v>#VALUE!</v>
      </c>
      <c r="AH13" s="12" t="e">
        <v>#VALUE!</v>
      </c>
      <c r="AI13" s="12" t="e">
        <v>#VALUE!</v>
      </c>
      <c r="AJ13" s="12" t="e">
        <v>#VALUE!</v>
      </c>
      <c r="AK13" s="12" t="e">
        <v>#VALUE!</v>
      </c>
      <c r="AL13" s="12" t="e">
        <v>#VALUE!</v>
      </c>
      <c r="AM13" s="12" t="e">
        <v>#VALUE!</v>
      </c>
      <c r="AN13" s="12" t="e">
        <v>#VALUE!</v>
      </c>
      <c r="AO13" s="12" t="e">
        <v>#VALUE!</v>
      </c>
      <c r="AP13" s="12" t="e">
        <v>#VALUE!</v>
      </c>
      <c r="AQ13" s="12" t="e">
        <v>#VALUE!</v>
      </c>
      <c r="AR13" s="12" t="e">
        <v>#VALUE!</v>
      </c>
      <c r="AS13" s="12" t="e">
        <v>#VALUE!</v>
      </c>
      <c r="AT13" s="12" t="e">
        <v>#VALUE!</v>
      </c>
      <c r="AU13" s="12" t="e">
        <v>#VALUE!</v>
      </c>
      <c r="AV13" s="12" t="e">
        <v>#VALUE!</v>
      </c>
      <c r="AW13" s="12" t="e">
        <v>#VALUE!</v>
      </c>
      <c r="AX13" s="12" t="e">
        <v>#VALUE!</v>
      </c>
      <c r="AY13" s="12" t="s">
        <v>416</v>
      </c>
    </row>
    <row r="14" spans="1:51" s="12" customFormat="1">
      <c r="A14" s="9" t="s">
        <v>102</v>
      </c>
      <c r="B14" s="9" t="s">
        <v>103</v>
      </c>
      <c r="C14" s="10" t="s">
        <v>104</v>
      </c>
      <c r="D14" s="10"/>
      <c r="E14" s="9" t="s">
        <v>105</v>
      </c>
      <c r="F14" s="9" t="s">
        <v>30</v>
      </c>
      <c r="G14" s="9" t="s">
        <v>31</v>
      </c>
      <c r="H14" s="9" t="s">
        <v>106</v>
      </c>
      <c r="I14" s="9" t="s">
        <v>107</v>
      </c>
      <c r="J14" s="9">
        <v>0</v>
      </c>
      <c r="K14" s="11">
        <v>1</v>
      </c>
      <c r="L14" s="50">
        <v>0</v>
      </c>
      <c r="M14" s="11"/>
      <c r="N14" s="73" t="str">
        <f t="shared" si="0"/>
        <v/>
      </c>
      <c r="O14" s="74" t="str">
        <f t="shared" si="1"/>
        <v/>
      </c>
      <c r="P14" s="73" t="str">
        <f t="shared" si="2"/>
        <v/>
      </c>
      <c r="Q14" s="10"/>
      <c r="R14" s="10"/>
      <c r="S14" s="10"/>
      <c r="T14" s="10"/>
      <c r="U14" s="10"/>
      <c r="V14" s="75" t="str">
        <f>IF($T14&lt;&gt;"معتمد","",IFERROR((IF(AND('قياس الأداء للربع الأول'!$T13="معتمد",'قياس الأداء للربع الأول'!$L13&gt;0),'قياس الأداء للربع الأول'!$M13,0)+IF(AND('قياس الأداء للربع الثاني'!$Q13="معتمد",'قياس الأداء للربع الثاني'!$L13&gt;0),'قياس الأداء للربع الثاني'!$M13,0)+IF(AND($T14="معتمد",$L14&gt;0),$M14,0))/(IF(AND('قياس الأداء للربع الأول'!$T13="معتمد",'قياس الأداء للربع الأول'!$L13&gt;0),'قياس الأداء للربع الأول'!$L13,0)+IF(AND('قياس الأداء للربع الثاني'!$Q13="معتمد",'قياس الأداء للربع الثاني'!$L13&gt;0),'قياس الأداء للربع الثاني'!$L13,0)+IF(AND($T14="معتمد",$L14&gt;0),$L14,0)),""))</f>
        <v/>
      </c>
      <c r="W14" s="75" t="str">
        <f>IF(AND($T14="معتمد",$K14&gt;0),(IF('قياس الأداء للربع الأول'!$T13="معتمد",'قياس الأداء للربع الأول'!$M13,0)+IF('قياس الأداء للربع الثاني'!$Q13="معتمد",'قياس الأداء للربع الثاني'!$M13,0)+IF($T14="معتمد",$M14,0))/$K14,"")</f>
        <v/>
      </c>
      <c r="X14" s="40" t="str">
        <f t="shared" si="3"/>
        <v>م2م1-2عدد مصادر الدخل (الجديدة)مصدر دخلكلما زاد كان أفضلربع سنويتقرير بمصادر الدخل الجديدة وإيراداتهاإدارة الإتصال المؤسسي010</v>
      </c>
      <c r="AB14" s="12" t="e">
        <v>#VALUE!</v>
      </c>
      <c r="AC14" s="12" t="e">
        <v>#VALUE!</v>
      </c>
      <c r="AD14" s="12" t="e">
        <v>#VALUE!</v>
      </c>
      <c r="AE14" s="12" t="e">
        <v>#VALUE!</v>
      </c>
      <c r="AF14" s="12" t="e">
        <v>#VALUE!</v>
      </c>
      <c r="AG14" s="12" t="e">
        <v>#VALUE!</v>
      </c>
      <c r="AH14" s="12" t="e">
        <v>#VALUE!</v>
      </c>
      <c r="AI14" s="12" t="e">
        <v>#VALUE!</v>
      </c>
      <c r="AJ14" s="12" t="e">
        <v>#VALUE!</v>
      </c>
      <c r="AK14" s="12" t="e">
        <v>#VALUE!</v>
      </c>
      <c r="AL14" s="12" t="e">
        <v>#VALUE!</v>
      </c>
      <c r="AM14" s="12" t="e">
        <v>#VALUE!</v>
      </c>
      <c r="AN14" s="12" t="e">
        <v>#VALUE!</v>
      </c>
      <c r="AO14" s="12" t="e">
        <v>#VALUE!</v>
      </c>
      <c r="AP14" s="12" t="e">
        <v>#VALUE!</v>
      </c>
      <c r="AQ14" s="12" t="e">
        <v>#VALUE!</v>
      </c>
      <c r="AR14" s="12" t="e">
        <v>#VALUE!</v>
      </c>
      <c r="AS14" s="12" t="e">
        <v>#VALUE!</v>
      </c>
      <c r="AT14" s="12" t="e">
        <v>#VALUE!</v>
      </c>
      <c r="AU14" s="12" t="e">
        <v>#VALUE!</v>
      </c>
      <c r="AV14" s="12" t="e">
        <v>#VALUE!</v>
      </c>
      <c r="AW14" s="12" t="e">
        <v>#VALUE!</v>
      </c>
      <c r="AX14" s="12" t="e">
        <v>#VALUE!</v>
      </c>
      <c r="AY14" s="12" t="s">
        <v>417</v>
      </c>
    </row>
    <row r="15" spans="1:51" s="12" customFormat="1">
      <c r="A15" s="9" t="s">
        <v>102</v>
      </c>
      <c r="B15" s="9" t="s">
        <v>109</v>
      </c>
      <c r="C15" s="10" t="s">
        <v>110</v>
      </c>
      <c r="D15" s="10"/>
      <c r="E15" s="9" t="s">
        <v>29</v>
      </c>
      <c r="F15" s="9" t="s">
        <v>30</v>
      </c>
      <c r="G15" s="9" t="s">
        <v>31</v>
      </c>
      <c r="H15" s="9" t="s">
        <v>111</v>
      </c>
      <c r="I15" s="9" t="s">
        <v>107</v>
      </c>
      <c r="J15" s="9">
        <v>0</v>
      </c>
      <c r="K15" s="11">
        <v>50000</v>
      </c>
      <c r="L15" s="50">
        <v>0</v>
      </c>
      <c r="M15" s="11"/>
      <c r="N15" s="73" t="str">
        <f t="shared" si="0"/>
        <v/>
      </c>
      <c r="O15" s="74" t="str">
        <f t="shared" si="1"/>
        <v/>
      </c>
      <c r="P15" s="73" t="str">
        <f t="shared" si="2"/>
        <v/>
      </c>
      <c r="Q15" s="10"/>
      <c r="R15" s="10"/>
      <c r="S15" s="10"/>
      <c r="T15" s="10"/>
      <c r="U15" s="10"/>
      <c r="V15" s="75" t="str">
        <f>IF($T15&lt;&gt;"معتمد","",IFERROR((IF(AND('قياس الأداء للربع الأول'!$T14="معتمد",'قياس الأداء للربع الأول'!$L14&gt;0),'قياس الأداء للربع الأول'!$M14,0)+IF(AND('قياس الأداء للربع الثاني'!$Q14="معتمد",'قياس الأداء للربع الثاني'!$L14&gt;0),'قياس الأداء للربع الثاني'!$M14,0)+IF(AND($T15="معتمد",$L15&gt;0),$M15,0))/(IF(AND('قياس الأداء للربع الأول'!$T14="معتمد",'قياس الأداء للربع الأول'!$L14&gt;0),'قياس الأداء للربع الأول'!$L14,0)+IF(AND('قياس الأداء للربع الثاني'!$Q14="معتمد",'قياس الأداء للربع الثاني'!$L14&gt;0),'قياس الأداء للربع الثاني'!$L14,0)+IF(AND($T15="معتمد",$L15&gt;0),$L15,0)),""))</f>
        <v/>
      </c>
      <c r="W15" s="75" t="str">
        <f>IF(AND($T15="معتمد",$K15&gt;0),(IF('قياس الأداء للربع الأول'!$T14="معتمد",'قياس الأداء للربع الأول'!$M14,0)+IF('قياس الأداء للربع الثاني'!$Q14="معتمد",'قياس الأداء للربع الثاني'!$M14,0)+IF($T15="معتمد",$M15,0))/$K15,"")</f>
        <v/>
      </c>
      <c r="X15" s="40" t="str">
        <f t="shared" si="3"/>
        <v>م2م2-2إجمالي الإيرادات من مصادر الدخل الجديدةريالكلما زاد كان أفضلربع سنويتقرير مالي بالإيرادات المالية للجمعيةإدارة الإتصال المؤسسي0500000</v>
      </c>
      <c r="AB15" s="12" t="e">
        <v>#VALUE!</v>
      </c>
      <c r="AC15" s="12" t="e">
        <v>#VALUE!</v>
      </c>
      <c r="AD15" s="12" t="e">
        <v>#VALUE!</v>
      </c>
      <c r="AE15" s="12" t="e">
        <v>#VALUE!</v>
      </c>
      <c r="AF15" s="12" t="e">
        <v>#VALUE!</v>
      </c>
      <c r="AG15" s="12" t="e">
        <v>#VALUE!</v>
      </c>
      <c r="AH15" s="12" t="e">
        <v>#VALUE!</v>
      </c>
      <c r="AI15" s="12" t="e">
        <v>#VALUE!</v>
      </c>
      <c r="AJ15" s="12" t="e">
        <v>#VALUE!</v>
      </c>
      <c r="AK15" s="12" t="e">
        <v>#VALUE!</v>
      </c>
      <c r="AL15" s="12" t="e">
        <v>#VALUE!</v>
      </c>
      <c r="AM15" s="12" t="e">
        <v>#VALUE!</v>
      </c>
      <c r="AN15" s="12" t="e">
        <v>#VALUE!</v>
      </c>
      <c r="AO15" s="12" t="e">
        <v>#VALUE!</v>
      </c>
      <c r="AP15" s="12" t="e">
        <v>#VALUE!</v>
      </c>
      <c r="AQ15" s="12" t="e">
        <v>#VALUE!</v>
      </c>
      <c r="AR15" s="12" t="e">
        <v>#VALUE!</v>
      </c>
      <c r="AS15" s="12" t="e">
        <v>#VALUE!</v>
      </c>
      <c r="AT15" s="12" t="e">
        <v>#VALUE!</v>
      </c>
      <c r="AU15" s="12" t="e">
        <v>#VALUE!</v>
      </c>
      <c r="AV15" s="12" t="e">
        <v>#VALUE!</v>
      </c>
      <c r="AW15" s="12" t="e">
        <v>#VALUE!</v>
      </c>
      <c r="AX15" s="12" t="e">
        <v>#VALUE!</v>
      </c>
      <c r="AY15" s="12" t="s">
        <v>418</v>
      </c>
    </row>
    <row r="16" spans="1:51" s="12" customFormat="1">
      <c r="A16" s="9" t="s">
        <v>102</v>
      </c>
      <c r="B16" s="9" t="s">
        <v>112</v>
      </c>
      <c r="C16" s="10" t="s">
        <v>113</v>
      </c>
      <c r="D16" s="10"/>
      <c r="E16" s="9" t="s">
        <v>29</v>
      </c>
      <c r="F16" s="9" t="s">
        <v>30</v>
      </c>
      <c r="G16" s="9" t="s">
        <v>31</v>
      </c>
      <c r="H16" s="9" t="s">
        <v>114</v>
      </c>
      <c r="I16" s="9" t="s">
        <v>107</v>
      </c>
      <c r="J16" s="9">
        <v>0</v>
      </c>
      <c r="K16" s="18">
        <v>0</v>
      </c>
      <c r="L16" s="50">
        <v>0</v>
      </c>
      <c r="M16" s="18"/>
      <c r="N16" s="73" t="str">
        <f t="shared" si="0"/>
        <v/>
      </c>
      <c r="O16" s="78" t="str">
        <f t="shared" si="1"/>
        <v/>
      </c>
      <c r="P16" s="79" t="str">
        <f t="shared" si="2"/>
        <v/>
      </c>
      <c r="Q16" s="9"/>
      <c r="R16" s="9"/>
      <c r="S16" s="9"/>
      <c r="T16" s="9"/>
      <c r="U16" s="9"/>
      <c r="V16" s="75" t="str">
        <f>IF($T16&lt;&gt;"معتمد","",IFERROR((IF(AND('قياس الأداء للربع الأول'!$T15="معتمد",'قياس الأداء للربع الأول'!$L15&gt;0),'قياس الأداء للربع الأول'!$M15,0)+IF(AND('قياس الأداء للربع الثاني'!$Q15="معتمد",'قياس الأداء للربع الثاني'!$L15&gt;0),'قياس الأداء للربع الثاني'!$M15,0)+IF(AND($T16="معتمد",$L16&gt;0),$M16,0))/(IF(AND('قياس الأداء للربع الأول'!$T15="معتمد",'قياس الأداء للربع الأول'!$L15&gt;0),'قياس الأداء للربع الأول'!$L15,0)+IF(AND('قياس الأداء للربع الثاني'!$Q15="معتمد",'قياس الأداء للربع الثاني'!$L15&gt;0),'قياس الأداء للربع الثاني'!$L15,0)+IF(AND($T16="معتمد",$L16&gt;0),$L16,0)),""))</f>
        <v/>
      </c>
      <c r="W16" s="75" t="str">
        <f>IF(AND($T16="معتمد",$K16&gt;0),(IF('قياس الأداء للربع الأول'!$T15="معتمد",'قياس الأداء للربع الأول'!$M15,0)+IF('قياس الأداء للربع الثاني'!$Q15="معتمد",'قياس الأداء للربع الثاني'!$M15,0)+IF($T16="معتمد",$M16,0))/$K16,"")</f>
        <v/>
      </c>
      <c r="X16" s="40" t="str">
        <f t="shared" si="3"/>
        <v>م2م3-2إجمالي التبرعاتريالكلما زاد كان أفضلربع سنويتقرير مالي بالتبرعات في الفترة الحالية والفترة السابقةإدارة الإتصال المؤسسي000</v>
      </c>
      <c r="AB16" s="12" t="e">
        <v>#VALUE!</v>
      </c>
      <c r="AC16" s="12" t="e">
        <v>#VALUE!</v>
      </c>
      <c r="AD16" s="12" t="e">
        <v>#VALUE!</v>
      </c>
      <c r="AE16" s="12" t="e">
        <v>#VALUE!</v>
      </c>
      <c r="AF16" s="12" t="e">
        <v>#VALUE!</v>
      </c>
      <c r="AG16" s="12" t="e">
        <v>#VALUE!</v>
      </c>
      <c r="AH16" s="12" t="e">
        <v>#VALUE!</v>
      </c>
      <c r="AI16" s="12" t="e">
        <v>#VALUE!</v>
      </c>
      <c r="AJ16" s="12" t="e">
        <v>#VALUE!</v>
      </c>
      <c r="AK16" s="12" t="e">
        <v>#VALUE!</v>
      </c>
      <c r="AL16" s="12" t="e">
        <v>#VALUE!</v>
      </c>
      <c r="AM16" s="12" t="e">
        <v>#VALUE!</v>
      </c>
      <c r="AN16" s="12" t="e">
        <v>#VALUE!</v>
      </c>
      <c r="AO16" s="12" t="e">
        <v>#VALUE!</v>
      </c>
      <c r="AP16" s="12" t="e">
        <v>#VALUE!</v>
      </c>
      <c r="AQ16" s="12" t="e">
        <v>#VALUE!</v>
      </c>
      <c r="AR16" s="12" t="e">
        <v>#VALUE!</v>
      </c>
      <c r="AS16" s="12" t="e">
        <v>#VALUE!</v>
      </c>
      <c r="AT16" s="12" t="e">
        <v>#VALUE!</v>
      </c>
      <c r="AU16" s="12" t="e">
        <v>#VALUE!</v>
      </c>
      <c r="AV16" s="12" t="e">
        <v>#VALUE!</v>
      </c>
      <c r="AW16" s="12" t="e">
        <v>#VALUE!</v>
      </c>
      <c r="AX16" s="12" t="e">
        <v>#VALUE!</v>
      </c>
      <c r="AY16" s="12" t="s">
        <v>419</v>
      </c>
    </row>
    <row r="17" spans="1:51" s="12" customFormat="1">
      <c r="A17" s="9" t="s">
        <v>116</v>
      </c>
      <c r="B17" s="9" t="s">
        <v>117</v>
      </c>
      <c r="C17" s="10" t="s">
        <v>118</v>
      </c>
      <c r="D17" s="10"/>
      <c r="E17" s="9" t="s">
        <v>119</v>
      </c>
      <c r="F17" s="9" t="s">
        <v>30</v>
      </c>
      <c r="G17" s="9" t="s">
        <v>31</v>
      </c>
      <c r="H17" s="9" t="s">
        <v>120</v>
      </c>
      <c r="I17" s="9" t="s">
        <v>121</v>
      </c>
      <c r="J17" s="9">
        <v>0</v>
      </c>
      <c r="K17" s="18">
        <v>14</v>
      </c>
      <c r="L17" s="51">
        <v>3</v>
      </c>
      <c r="M17" s="18"/>
      <c r="N17" s="73" t="str">
        <f t="shared" si="0"/>
        <v/>
      </c>
      <c r="O17" s="78" t="str">
        <f t="shared" si="1"/>
        <v/>
      </c>
      <c r="P17" s="79" t="str">
        <f t="shared" si="2"/>
        <v/>
      </c>
      <c r="Q17" s="9"/>
      <c r="R17" s="9"/>
      <c r="S17" s="9"/>
      <c r="T17" s="9"/>
      <c r="U17" s="9"/>
      <c r="V17" s="75" t="str">
        <f>IF($T17&lt;&gt;"معتمد","",IFERROR((IF(AND('قياس الأداء للربع الأول'!$T16="معتمد",'قياس الأداء للربع الأول'!$L16&gt;0),'قياس الأداء للربع الأول'!$M16,0)+IF(AND('قياس الأداء للربع الثاني'!$Q16="معتمد",'قياس الأداء للربع الثاني'!$L16&gt;0),'قياس الأداء للربع الثاني'!$M16,0)+IF(AND($T17="معتمد",$L17&gt;0),$M17,0))/(IF(AND('قياس الأداء للربع الأول'!$T16="معتمد",'قياس الأداء للربع الأول'!$L16&gt;0),'قياس الأداء للربع الأول'!$L16,0)+IF(AND('قياس الأداء للربع الثاني'!$Q16="معتمد",'قياس الأداء للربع الثاني'!$L16&gt;0),'قياس الأداء للربع الثاني'!$L16,0)+IF(AND($T17="معتمد",$L17&gt;0),$L17,0)),""))</f>
        <v/>
      </c>
      <c r="W17" s="75" t="str">
        <f>IF(AND($T17="معتمد",$K17&gt;0),(IF('قياس الأداء للربع الأول'!$T16="معتمد",'قياس الأداء للربع الأول'!$M16,0)+IF('قياس الأداء للربع الثاني'!$Q16="معتمد",'قياس الأداء للربع الثاني'!$M16,0)+IF($T17="معتمد",$M17,0))/$K17,"")</f>
        <v/>
      </c>
      <c r="X17" s="40" t="str">
        <f t="shared" si="3"/>
        <v>د1د1-1عدد البرامج المبتكرة التي تم  تصميمهابرامجكلما زاد كان أفضلربع سنويقائمة بالبرامج التي صممتها الجمعيةإدارة الرعاية و التمكين،إدارة التكافل المجتمعي0143</v>
      </c>
      <c r="AB17" s="12" t="e">
        <v>#VALUE!</v>
      </c>
      <c r="AC17" s="12" t="e">
        <v>#VALUE!</v>
      </c>
      <c r="AD17" s="12" t="e">
        <v>#VALUE!</v>
      </c>
      <c r="AE17" s="12" t="e">
        <v>#VALUE!</v>
      </c>
      <c r="AF17" s="12" t="e">
        <v>#VALUE!</v>
      </c>
      <c r="AG17" s="12" t="e">
        <v>#VALUE!</v>
      </c>
      <c r="AH17" s="12" t="e">
        <v>#VALUE!</v>
      </c>
      <c r="AI17" s="12" t="e">
        <v>#VALUE!</v>
      </c>
      <c r="AJ17" s="12" t="e">
        <v>#VALUE!</v>
      </c>
      <c r="AK17" s="12" t="e">
        <v>#VALUE!</v>
      </c>
      <c r="AL17" s="12" t="e">
        <v>#VALUE!</v>
      </c>
      <c r="AM17" s="12" t="e">
        <v>#VALUE!</v>
      </c>
      <c r="AN17" s="12" t="e">
        <v>#VALUE!</v>
      </c>
      <c r="AO17" s="12" t="e">
        <v>#VALUE!</v>
      </c>
      <c r="AP17" s="12" t="e">
        <v>#VALUE!</v>
      </c>
      <c r="AQ17" s="12" t="e">
        <v>#VALUE!</v>
      </c>
      <c r="AR17" s="12" t="e">
        <v>#VALUE!</v>
      </c>
      <c r="AS17" s="12" t="e">
        <v>#VALUE!</v>
      </c>
      <c r="AT17" s="12" t="e">
        <v>#VALUE!</v>
      </c>
      <c r="AU17" s="12" t="e">
        <v>#VALUE!</v>
      </c>
      <c r="AV17" s="12" t="e">
        <v>#VALUE!</v>
      </c>
      <c r="AW17" s="12" t="e">
        <v>#VALUE!</v>
      </c>
      <c r="AX17" s="12" t="e">
        <v>#VALUE!</v>
      </c>
      <c r="AY17" s="12" t="s">
        <v>420</v>
      </c>
    </row>
    <row r="18" spans="1:51" s="12" customFormat="1">
      <c r="A18" s="9" t="s">
        <v>116</v>
      </c>
      <c r="B18" s="9" t="s">
        <v>125</v>
      </c>
      <c r="C18" s="10" t="s">
        <v>126</v>
      </c>
      <c r="D18" s="10"/>
      <c r="E18" s="9" t="s">
        <v>127</v>
      </c>
      <c r="F18" s="9" t="s">
        <v>30</v>
      </c>
      <c r="G18" s="9" t="s">
        <v>31</v>
      </c>
      <c r="H18" s="9" t="s">
        <v>128</v>
      </c>
      <c r="I18" s="9" t="s">
        <v>121</v>
      </c>
      <c r="J18" s="9">
        <v>0</v>
      </c>
      <c r="K18" s="18">
        <v>18</v>
      </c>
      <c r="L18" s="51">
        <v>3</v>
      </c>
      <c r="M18" s="18"/>
      <c r="N18" s="73" t="str">
        <f t="shared" si="0"/>
        <v/>
      </c>
      <c r="O18" s="78" t="str">
        <f t="shared" si="1"/>
        <v/>
      </c>
      <c r="P18" s="79" t="str">
        <f t="shared" si="2"/>
        <v/>
      </c>
      <c r="Q18" s="9"/>
      <c r="R18" s="9"/>
      <c r="S18" s="9"/>
      <c r="T18" s="9"/>
      <c r="U18" s="9"/>
      <c r="V18" s="75" t="str">
        <f>IF($T18&lt;&gt;"معتمد","",IFERROR((IF(AND('قياس الأداء للربع الأول'!$T17="معتمد",'قياس الأداء للربع الأول'!$L17&gt;0),'قياس الأداء للربع الأول'!$M17,0)+IF(AND('قياس الأداء للربع الثاني'!$Q17="معتمد",'قياس الأداء للربع الثاني'!$L17&gt;0),'قياس الأداء للربع الثاني'!$M17,0)+IF(AND($T18="معتمد",$L18&gt;0),$M18,0))/(IF(AND('قياس الأداء للربع الأول'!$T17="معتمد",'قياس الأداء للربع الأول'!$L17&gt;0),'قياس الأداء للربع الأول'!$L17,0)+IF(AND('قياس الأداء للربع الثاني'!$Q17="معتمد",'قياس الأداء للربع الثاني'!$L17&gt;0),'قياس الأداء للربع الثاني'!$L17,0)+IF(AND($T18="معتمد",$L18&gt;0),$L18,0)),""))</f>
        <v/>
      </c>
      <c r="W18" s="75" t="str">
        <f>IF(AND($T18="معتمد",$K18&gt;0),(IF('قياس الأداء للربع الأول'!$T17="معتمد",'قياس الأداء للربع الأول'!$M17,0)+IF('قياس الأداء للربع الثاني'!$Q17="معتمد",'قياس الأداء للربع الثاني'!$M17,0)+IF($T18="معتمد",$M18,0))/$K18,"")</f>
        <v/>
      </c>
      <c r="X18" s="40" t="str">
        <f t="shared" si="3"/>
        <v>د1د2-1عدد الخدمات المبتكرة التي تم تصميمهاخدمةكلما زاد كان أفضلربع سنويقائمة بالخدمات التي صممتها الجمعيةإدارة الرعاية و التمكين،إدارة التكافل المجتمعي0183</v>
      </c>
      <c r="AB18" s="12" t="e">
        <v>#VALUE!</v>
      </c>
      <c r="AC18" s="12" t="e">
        <v>#VALUE!</v>
      </c>
      <c r="AD18" s="12" t="e">
        <v>#VALUE!</v>
      </c>
      <c r="AE18" s="12" t="e">
        <v>#VALUE!</v>
      </c>
      <c r="AF18" s="12" t="e">
        <v>#VALUE!</v>
      </c>
      <c r="AG18" s="12" t="e">
        <v>#VALUE!</v>
      </c>
      <c r="AH18" s="12" t="e">
        <v>#VALUE!</v>
      </c>
      <c r="AI18" s="12" t="e">
        <v>#VALUE!</v>
      </c>
      <c r="AJ18" s="12" t="e">
        <v>#VALUE!</v>
      </c>
      <c r="AK18" s="12" t="e">
        <v>#VALUE!</v>
      </c>
      <c r="AL18" s="12" t="e">
        <v>#VALUE!</v>
      </c>
      <c r="AM18" s="12" t="e">
        <v>#VALUE!</v>
      </c>
      <c r="AN18" s="12" t="e">
        <v>#VALUE!</v>
      </c>
      <c r="AO18" s="12" t="e">
        <v>#VALUE!</v>
      </c>
      <c r="AP18" s="12" t="e">
        <v>#VALUE!</v>
      </c>
      <c r="AQ18" s="12" t="e">
        <v>#VALUE!</v>
      </c>
      <c r="AR18" s="12" t="e">
        <v>#VALUE!</v>
      </c>
      <c r="AS18" s="12" t="e">
        <v>#VALUE!</v>
      </c>
      <c r="AT18" s="12" t="e">
        <v>#VALUE!</v>
      </c>
      <c r="AU18" s="12" t="e">
        <v>#VALUE!</v>
      </c>
      <c r="AV18" s="12" t="e">
        <v>#VALUE!</v>
      </c>
      <c r="AW18" s="12" t="e">
        <v>#VALUE!</v>
      </c>
      <c r="AX18" s="12" t="e">
        <v>#VALUE!</v>
      </c>
      <c r="AY18" s="12" t="s">
        <v>421</v>
      </c>
    </row>
    <row r="19" spans="1:51" s="12" customFormat="1">
      <c r="A19" s="9" t="s">
        <v>132</v>
      </c>
      <c r="B19" s="9" t="s">
        <v>133</v>
      </c>
      <c r="C19" s="10" t="s">
        <v>134</v>
      </c>
      <c r="D19" s="10"/>
      <c r="E19" s="9" t="s">
        <v>37</v>
      </c>
      <c r="F19" s="9" t="s">
        <v>30</v>
      </c>
      <c r="G19" s="9" t="s">
        <v>31</v>
      </c>
      <c r="H19" s="9" t="s">
        <v>135</v>
      </c>
      <c r="I19" s="9" t="s">
        <v>94</v>
      </c>
      <c r="J19" s="9">
        <v>0</v>
      </c>
      <c r="K19" s="11">
        <v>0.85</v>
      </c>
      <c r="L19" s="50">
        <v>0.8</v>
      </c>
      <c r="M19" s="11"/>
      <c r="N19" s="73" t="str">
        <f t="shared" si="0"/>
        <v/>
      </c>
      <c r="O19" s="74" t="str">
        <f t="shared" si="1"/>
        <v/>
      </c>
      <c r="P19" s="73" t="str">
        <f t="shared" si="2"/>
        <v/>
      </c>
      <c r="Q19" s="13"/>
      <c r="R19" s="13"/>
      <c r="S19" s="13"/>
      <c r="T19" s="13"/>
      <c r="U19" s="13"/>
      <c r="V19" s="75" t="str">
        <f>IF($T19&lt;&gt;"معتمد","",IFERROR((IF(AND('قياس الأداء للربع الأول'!$T18="معتمد",'قياس الأداء للربع الأول'!$L18&gt;0),'قياس الأداء للربع الأول'!$M18,0)+IF(AND('قياس الأداء للربع الثاني'!$Q18="معتمد",'قياس الأداء للربع الثاني'!$L18&gt;0),'قياس الأداء للربع الثاني'!$M18,0)+IF(AND($T19="معتمد",$L19&gt;0),$M19,0))/(IF(AND('قياس الأداء للربع الأول'!$T18="معتمد",'قياس الأداء للربع الأول'!$L18&gt;0),'قياس الأداء للربع الأول'!$L18,0)+IF(AND('قياس الأداء للربع الثاني'!$Q18="معتمد",'قياس الأداء للربع الثاني'!$L18&gt;0),'قياس الأداء للربع الثاني'!$L18,0)+IF(AND($T19="معتمد",$L19&gt;0),$L19,0)),""))</f>
        <v/>
      </c>
      <c r="W19" s="75" t="str">
        <f>IF(AND($T19="معتمد",$K19&gt;0),(IF('قياس الأداء للربع الأول'!$T18="معتمد",'قياس الأداء للربع الأول'!$M18,0)+IF('قياس الأداء للربع الثاني'!$Q18="معتمد",'قياس الأداء للربع الثاني'!$M18,0)+IF($T19="معتمد",$M19,0))/$K19,"")</f>
        <v/>
      </c>
      <c r="X19" s="40" t="str">
        <f t="shared" si="3"/>
        <v>د2د1-2نسبة مصاريف البرامج والأنشطة إلى إجمالي المصاريفنسبةكلما زاد كان أفضلربع سنويتقرير مالي موضح فيه جميع المصروفات (المصروفات الإدارية والعمومية، مصروفات النشاط)إدارة الشؤون المالية و الإدارية00.850.8</v>
      </c>
      <c r="AB19" s="12" t="e">
        <v>#VALUE!</v>
      </c>
      <c r="AC19" s="12" t="e">
        <v>#VALUE!</v>
      </c>
      <c r="AD19" s="12" t="e">
        <v>#VALUE!</v>
      </c>
      <c r="AE19" s="12" t="e">
        <v>#VALUE!</v>
      </c>
      <c r="AF19" s="12" t="e">
        <v>#VALUE!</v>
      </c>
      <c r="AG19" s="12" t="e">
        <v>#VALUE!</v>
      </c>
      <c r="AH19" s="12" t="e">
        <v>#VALUE!</v>
      </c>
      <c r="AI19" s="12" t="e">
        <v>#VALUE!</v>
      </c>
      <c r="AJ19" s="12" t="e">
        <v>#VALUE!</v>
      </c>
      <c r="AK19" s="12" t="e">
        <v>#VALUE!</v>
      </c>
      <c r="AL19" s="12" t="e">
        <v>#VALUE!</v>
      </c>
      <c r="AM19" s="12" t="e">
        <v>#VALUE!</v>
      </c>
      <c r="AN19" s="12" t="e">
        <v>#VALUE!</v>
      </c>
      <c r="AO19" s="12" t="e">
        <v>#VALUE!</v>
      </c>
      <c r="AP19" s="12" t="e">
        <v>#VALUE!</v>
      </c>
      <c r="AQ19" s="12" t="e">
        <v>#VALUE!</v>
      </c>
      <c r="AR19" s="12" t="e">
        <v>#VALUE!</v>
      </c>
      <c r="AS19" s="12" t="e">
        <v>#VALUE!</v>
      </c>
      <c r="AT19" s="12" t="e">
        <v>#VALUE!</v>
      </c>
      <c r="AU19" s="12" t="e">
        <v>#VALUE!</v>
      </c>
      <c r="AV19" s="12" t="e">
        <v>#VALUE!</v>
      </c>
      <c r="AW19" s="12" t="e">
        <v>#VALUE!</v>
      </c>
      <c r="AX19" s="12" t="e">
        <v>#VALUE!</v>
      </c>
      <c r="AY19" s="12" t="s">
        <v>422</v>
      </c>
    </row>
    <row r="20" spans="1:51" s="12" customFormat="1">
      <c r="A20" s="9" t="s">
        <v>132</v>
      </c>
      <c r="B20" s="9" t="s">
        <v>136</v>
      </c>
      <c r="C20" s="10" t="s">
        <v>137</v>
      </c>
      <c r="D20" s="10"/>
      <c r="E20" s="9" t="s">
        <v>138</v>
      </c>
      <c r="F20" s="9" t="s">
        <v>30</v>
      </c>
      <c r="G20" s="9" t="s">
        <v>31</v>
      </c>
      <c r="H20" s="9" t="s">
        <v>139</v>
      </c>
      <c r="I20" s="9" t="s">
        <v>140</v>
      </c>
      <c r="J20" s="9">
        <v>0</v>
      </c>
      <c r="K20" s="11">
        <v>1</v>
      </c>
      <c r="L20" s="50">
        <v>0</v>
      </c>
      <c r="M20" s="11"/>
      <c r="N20" s="73" t="str">
        <f t="shared" si="0"/>
        <v/>
      </c>
      <c r="O20" s="74" t="str">
        <f t="shared" si="1"/>
        <v/>
      </c>
      <c r="P20" s="73" t="str">
        <f t="shared" si="2"/>
        <v/>
      </c>
      <c r="Q20" s="13"/>
      <c r="R20" s="13"/>
      <c r="S20" s="13"/>
      <c r="T20" s="13"/>
      <c r="U20" s="13"/>
      <c r="V20" s="75" t="str">
        <f>IF($T20&lt;&gt;"معتمد","",IFERROR((IF(AND('قياس الأداء للربع الأول'!$T19="معتمد",'قياس الأداء للربع الأول'!$L19&gt;0),'قياس الأداء للربع الأول'!$M19,0)+IF(AND('قياس الأداء للربع الثاني'!$Q19="معتمد",'قياس الأداء للربع الثاني'!$L19&gt;0),'قياس الأداء للربع الثاني'!$M19,0)+IF(AND($T20="معتمد",$L20&gt;0),$M20,0))/(IF(AND('قياس الأداء للربع الأول'!$T19="معتمد",'قياس الأداء للربع الأول'!$L19&gt;0),'قياس الأداء للربع الأول'!$L19,0)+IF(AND('قياس الأداء للربع الثاني'!$Q19="معتمد",'قياس الأداء للربع الثاني'!$L19&gt;0),'قياس الأداء للربع الثاني'!$L19,0)+IF(AND($T20="معتمد",$L20&gt;0),$L20,0)),""))</f>
        <v/>
      </c>
      <c r="W20" s="75" t="str">
        <f>IF(AND($T20="معتمد",$K20&gt;0),(IF('قياس الأداء للربع الأول'!$T19="معتمد",'قياس الأداء للربع الأول'!$M19,0)+IF('قياس الأداء للربع الثاني'!$Q19="معتمد",'قياس الأداء للربع الثاني'!$M19,0)+IF($T20="معتمد",$M20,0))/$K20,"")</f>
        <v/>
      </c>
      <c r="X20" s="40" t="str">
        <f t="shared" si="3"/>
        <v>د2د2-2عدد العمليات التي تم تجويدها (تطويرها)عمليةكلما زاد كان أفضلربع سنويقائمة بالعمليات المطورة وبيان التطوير الذي تم عليها وتاريخ التطوير والإعتمادإدارة الشؤون المالية و الإدارية،إدارة الأداء و النمو010</v>
      </c>
    </row>
    <row r="21" spans="1:51" s="12" customFormat="1">
      <c r="A21" s="9" t="s">
        <v>141</v>
      </c>
      <c r="B21" s="9" t="s">
        <v>142</v>
      </c>
      <c r="C21" s="10" t="s">
        <v>143</v>
      </c>
      <c r="D21" s="10"/>
      <c r="E21" s="9" t="s">
        <v>37</v>
      </c>
      <c r="F21" s="9" t="s">
        <v>30</v>
      </c>
      <c r="G21" s="9" t="s">
        <v>31</v>
      </c>
      <c r="H21" s="9" t="s">
        <v>144</v>
      </c>
      <c r="I21" s="9" t="s">
        <v>94</v>
      </c>
      <c r="J21" s="9">
        <v>0</v>
      </c>
      <c r="K21" s="11">
        <v>1</v>
      </c>
      <c r="L21" s="50">
        <v>0.95</v>
      </c>
      <c r="M21" s="11"/>
      <c r="N21" s="73" t="str">
        <f t="shared" si="0"/>
        <v/>
      </c>
      <c r="O21" s="74" t="str">
        <f t="shared" si="1"/>
        <v/>
      </c>
      <c r="P21" s="73" t="str">
        <f t="shared" si="2"/>
        <v/>
      </c>
      <c r="Q21" s="13"/>
      <c r="R21" s="13"/>
      <c r="S21" s="13"/>
      <c r="T21" s="13"/>
      <c r="U21" s="13"/>
      <c r="V21" s="75" t="str">
        <f>IF($T21&lt;&gt;"معتمد","",IFERROR((IF(AND('قياس الأداء للربع الأول'!$T20="معتمد",'قياس الأداء للربع الأول'!$L20&gt;0),'قياس الأداء للربع الأول'!$M20,0)+IF(AND('قياس الأداء للربع الثاني'!$Q20="معتمد",'قياس الأداء للربع الثاني'!$L20&gt;0),'قياس الأداء للربع الثاني'!$M20,0)+IF(AND($T21="معتمد",$L21&gt;0),$M21,0))/(IF(AND('قياس الأداء للربع الأول'!$T20="معتمد",'قياس الأداء للربع الأول'!$L20&gt;0),'قياس الأداء للربع الأول'!$L20,0)+IF(AND('قياس الأداء للربع الثاني'!$Q20="معتمد",'قياس الأداء للربع الثاني'!$L20&gt;0),'قياس الأداء للربع الثاني'!$L20,0)+IF(AND($T21="معتمد",$L21&gt;0),$L21,0)),""))</f>
        <v/>
      </c>
      <c r="W21" s="75" t="str">
        <f>IF(AND($T21="معتمد",$K21&gt;0),(IF('قياس الأداء للربع الأول'!$T20="معتمد",'قياس الأداء للربع الأول'!$M20,0)+IF('قياس الأداء للربع الثاني'!$Q20="معتمد",'قياس الأداء للربع الثاني'!$M20,0)+IF($T21="معتمد",$M21,0))/$K21,"")</f>
        <v/>
      </c>
      <c r="X21" s="40" t="str">
        <f t="shared" si="3"/>
        <v>د3د1-3نسبة نضج واستدامة البيئة التقنيةنسبةكلما زاد كان أفضلربع سنويتقرير بالعملياتإدارة الشؤون المالية و الإدارية010.95</v>
      </c>
    </row>
    <row r="22" spans="1:51" s="12" customFormat="1">
      <c r="A22" s="9" t="s">
        <v>141</v>
      </c>
      <c r="B22" s="9" t="s">
        <v>145</v>
      </c>
      <c r="C22" s="10" t="s">
        <v>146</v>
      </c>
      <c r="D22" s="10"/>
      <c r="E22" s="9" t="s">
        <v>37</v>
      </c>
      <c r="F22" s="9" t="s">
        <v>30</v>
      </c>
      <c r="G22" s="9" t="s">
        <v>31</v>
      </c>
      <c r="H22" s="9" t="s">
        <v>144</v>
      </c>
      <c r="I22" s="9" t="s">
        <v>94</v>
      </c>
      <c r="J22" s="9">
        <v>0</v>
      </c>
      <c r="K22" s="11">
        <v>0.8</v>
      </c>
      <c r="L22" s="51">
        <v>0.5</v>
      </c>
      <c r="M22" s="11"/>
      <c r="N22" s="73" t="str">
        <f t="shared" si="0"/>
        <v/>
      </c>
      <c r="O22" s="74" t="str">
        <f t="shared" si="1"/>
        <v/>
      </c>
      <c r="P22" s="73" t="str">
        <f t="shared" si="2"/>
        <v/>
      </c>
      <c r="Q22" s="13"/>
      <c r="R22" s="13"/>
      <c r="S22" s="13"/>
      <c r="T22" s="13"/>
      <c r="U22" s="13"/>
      <c r="V22" s="75" t="str">
        <f>IF($T22&lt;&gt;"معتمد","",IFERROR((IF(AND('قياس الأداء للربع الأول'!$T21="معتمد",'قياس الأداء للربع الأول'!$L21&gt;0),'قياس الأداء للربع الأول'!$M21,0)+IF(AND('قياس الأداء للربع الثاني'!$Q21="معتمد",'قياس الأداء للربع الثاني'!$L21&gt;0),'قياس الأداء للربع الثاني'!$M21,0)+IF(AND($T22="معتمد",$L22&gt;0),$M22,0))/(IF(AND('قياس الأداء للربع الأول'!$T21="معتمد",'قياس الأداء للربع الأول'!$L21&gt;0),'قياس الأداء للربع الأول'!$L21,0)+IF(AND('قياس الأداء للربع الثاني'!$Q21="معتمد",'قياس الأداء للربع الثاني'!$L21&gt;0),'قياس الأداء للربع الثاني'!$L21,0)+IF(AND($T22="معتمد",$L22&gt;0),$L22,0)),""))</f>
        <v/>
      </c>
      <c r="W22" s="75" t="str">
        <f>IF(AND($T22="معتمد",$K22&gt;0),(IF('قياس الأداء للربع الأول'!$T21="معتمد",'قياس الأداء للربع الأول'!$M21,0)+IF('قياس الأداء للربع الثاني'!$Q21="معتمد",'قياس الأداء للربع الثاني'!$M21,0)+IF($T22="معتمد",$M22,0))/$K22,"")</f>
        <v/>
      </c>
      <c r="X22" s="40" t="str">
        <f t="shared" si="3"/>
        <v>د3د2-3نسبة العمليات التي تم تطويرها وفق معايير الجودة المعتمدةنسبةكلما زاد كان أفضلربع سنويتقرير بالعملياتإدارة الشؤون المالية و الإدارية00.80.5</v>
      </c>
    </row>
    <row r="23" spans="1:51" s="12" customFormat="1">
      <c r="A23" s="9" t="s">
        <v>147</v>
      </c>
      <c r="B23" s="9" t="s">
        <v>148</v>
      </c>
      <c r="C23" s="10" t="s">
        <v>149</v>
      </c>
      <c r="D23" s="10"/>
      <c r="E23" s="9" t="s">
        <v>150</v>
      </c>
      <c r="F23" s="9" t="s">
        <v>30</v>
      </c>
      <c r="G23" s="9" t="s">
        <v>31</v>
      </c>
      <c r="H23" s="9" t="s">
        <v>151</v>
      </c>
      <c r="I23" s="9" t="s">
        <v>107</v>
      </c>
      <c r="J23" s="9">
        <v>0</v>
      </c>
      <c r="K23" s="11">
        <v>80</v>
      </c>
      <c r="L23" s="50">
        <v>25</v>
      </c>
      <c r="M23" s="11"/>
      <c r="N23" s="73" t="str">
        <f t="shared" si="0"/>
        <v/>
      </c>
      <c r="O23" s="74" t="str">
        <f t="shared" si="1"/>
        <v/>
      </c>
      <c r="P23" s="73" t="str">
        <f t="shared" si="2"/>
        <v/>
      </c>
      <c r="Q23" s="10"/>
      <c r="R23" s="10"/>
      <c r="S23" s="10"/>
      <c r="T23" s="10"/>
      <c r="U23" s="10"/>
      <c r="V23" s="75" t="str">
        <f>IF($T23&lt;&gt;"معتمد","",IFERROR((IF(AND('قياس الأداء للربع الأول'!$T22="معتمد",'قياس الأداء للربع الأول'!$L22&gt;0),'قياس الأداء للربع الأول'!$M22,0)+IF(AND('قياس الأداء للربع الثاني'!$Q22="معتمد",'قياس الأداء للربع الثاني'!$L22&gt;0),'قياس الأداء للربع الثاني'!$M22,0)+IF(AND($T23="معتمد",$L23&gt;0),$M23,0))/(IF(AND('قياس الأداء للربع الأول'!$T22="معتمد",'قياس الأداء للربع الأول'!$L22&gt;0),'قياس الأداء للربع الأول'!$L22,0)+IF(AND('قياس الأداء للربع الثاني'!$Q22="معتمد",'قياس الأداء للربع الثاني'!$L22&gt;0),'قياس الأداء للربع الثاني'!$L22,0)+IF(AND($T23="معتمد",$L23&gt;0),$L23,0)),""))</f>
        <v/>
      </c>
      <c r="W23" s="75" t="str">
        <f>IF(AND($T23="معتمد",$K23&gt;0),(IF('قياس الأداء للربع الأول'!$T22="معتمد",'قياس الأداء للربع الأول'!$M22,0)+IF('قياس الأداء للربع الثاني'!$Q22="معتمد",'قياس الأداء للربع الثاني'!$M22,0)+IF($T23="معتمد",$M23,0))/$K23,"")</f>
        <v/>
      </c>
      <c r="X23" s="40" t="str">
        <f t="shared" si="3"/>
        <v>د4د1-4عدد الشراكات الفاعلةشراكةكلما زاد كان أفضلربع سنويقائمة ببيانات الشراكات الفاعلة التي أقامتها الجمعيةإدارة الإتصال المؤسسي08025</v>
      </c>
    </row>
    <row r="24" spans="1:51" s="12" customFormat="1" ht="38.25" customHeight="1">
      <c r="A24" s="9" t="s">
        <v>147</v>
      </c>
      <c r="B24" s="9" t="s">
        <v>155</v>
      </c>
      <c r="C24" s="10" t="s">
        <v>156</v>
      </c>
      <c r="D24" s="10"/>
      <c r="E24" s="9" t="s">
        <v>157</v>
      </c>
      <c r="F24" s="9" t="s">
        <v>30</v>
      </c>
      <c r="G24" s="9" t="s">
        <v>31</v>
      </c>
      <c r="H24" s="19" t="s">
        <v>158</v>
      </c>
      <c r="I24" s="9" t="s">
        <v>107</v>
      </c>
      <c r="J24" s="9">
        <v>0</v>
      </c>
      <c r="K24" s="11" t="s">
        <v>159</v>
      </c>
      <c r="L24" s="50">
        <v>24</v>
      </c>
      <c r="M24" s="11"/>
      <c r="N24" s="73" t="str">
        <f t="shared" si="0"/>
        <v/>
      </c>
      <c r="O24" s="74" t="str">
        <f t="shared" si="1"/>
        <v/>
      </c>
      <c r="P24" s="73" t="str">
        <f t="shared" si="2"/>
        <v/>
      </c>
      <c r="Q24" s="10"/>
      <c r="R24" s="10"/>
      <c r="S24" s="10"/>
      <c r="T24" s="10"/>
      <c r="U24" s="10"/>
      <c r="V24" s="75" t="str">
        <f>IF($T24&lt;&gt;"معتمد","",IFERROR((IF(AND('قياس الأداء للربع الأول'!$T23="معتمد",'قياس الأداء للربع الأول'!$L23&gt;0),'قياس الأداء للربع الأول'!$M23,0)+IF(AND('قياس الأداء للربع الثاني'!$Q23="معتمد",'قياس الأداء للربع الثاني'!$L23&gt;0),'قياس الأداء للربع الثاني'!$M23,0)+IF(AND($T24="معتمد",$L24&gt;0),$M24,0))/(IF(AND('قياس الأداء للربع الأول'!$T23="معتمد",'قياس الأداء للربع الأول'!$L23&gt;0),'قياس الأداء للربع الأول'!$L23,0)+IF(AND('قياس الأداء للربع الثاني'!$Q23="معتمد",'قياس الأداء للربع الثاني'!$L23&gt;0),'قياس الأداء للربع الثاني'!$L23,0)+IF(AND($T24="معتمد",$L24&gt;0),$L24,0)),""))</f>
        <v/>
      </c>
      <c r="W24" s="75" t="str">
        <f>IF(AND($T24="معتمد",$K24&gt;0),(IF('قياس الأداء للربع الأول'!$T23="معتمد",'قياس الأداء للربع الأول'!$M23,0)+IF('قياس الأداء للربع الثاني'!$Q23="معتمد",'قياس الأداء للربع الثاني'!$M23,0)+IF($T24="معتمد",$M24,0))/$K24,"")</f>
        <v/>
      </c>
      <c r="X24" s="40" t="str">
        <f t="shared" si="3"/>
        <v>د4د2-4عدد الزيارات المنفذة للشركاء وأصحاب المصلحة عددكلما زاد كان أفضلربع سنويقائمة بالشركاء وأصحاب المصلحة الذين تم التواصل معهم بأسمائهم أو أوصافهم )مثال: قاعدة
بيانات الواتس – شركاء منافذ( موضح بها العدد ووسيلة التواصل)إدارة الإتصال المؤسسي052 زيارة،4 عمليات تواصل24</v>
      </c>
    </row>
    <row r="25" spans="1:51" s="12" customFormat="1">
      <c r="A25" s="9" t="s">
        <v>147</v>
      </c>
      <c r="B25" s="9" t="s">
        <v>161</v>
      </c>
      <c r="C25" s="10" t="s">
        <v>162</v>
      </c>
      <c r="D25" s="10"/>
      <c r="E25" s="9" t="s">
        <v>37</v>
      </c>
      <c r="F25" s="9" t="s">
        <v>30</v>
      </c>
      <c r="G25" s="9" t="s">
        <v>31</v>
      </c>
      <c r="H25" s="9" t="s">
        <v>163</v>
      </c>
      <c r="I25" s="9" t="s">
        <v>107</v>
      </c>
      <c r="J25" s="9">
        <v>0</v>
      </c>
      <c r="K25" s="18">
        <v>0.94</v>
      </c>
      <c r="L25" s="51">
        <v>0</v>
      </c>
      <c r="M25" s="18"/>
      <c r="N25" s="73" t="str">
        <f t="shared" si="0"/>
        <v/>
      </c>
      <c r="O25" s="78" t="str">
        <f t="shared" si="1"/>
        <v/>
      </c>
      <c r="P25" s="79" t="str">
        <f t="shared" si="2"/>
        <v/>
      </c>
      <c r="Q25" s="20"/>
      <c r="R25" s="20"/>
      <c r="S25" s="20"/>
      <c r="T25" s="20"/>
      <c r="U25" s="20"/>
      <c r="V25" s="75" t="str">
        <f>IF($T25&lt;&gt;"معتمد","",IFERROR((IF(AND('قياس الأداء للربع الأول'!$T24="معتمد",'قياس الأداء للربع الأول'!$L24&gt;0),'قياس الأداء للربع الأول'!$M24,0)+IF(AND('قياس الأداء للربع الثاني'!$Q24="معتمد",'قياس الأداء للربع الثاني'!$L24&gt;0),'قياس الأداء للربع الثاني'!$M24,0)+IF(AND($T25="معتمد",$L25&gt;0),$M25,0))/(IF(AND('قياس الأداء للربع الأول'!$T24="معتمد",'قياس الأداء للربع الأول'!$L24&gt;0),'قياس الأداء للربع الأول'!$L24,0)+IF(AND('قياس الأداء للربع الثاني'!$Q24="معتمد",'قياس الأداء للربع الثاني'!$L24&gt;0),'قياس الأداء للربع الثاني'!$L24,0)+IF(AND($T25="معتمد",$L25&gt;0),$L25,0)),""))</f>
        <v/>
      </c>
      <c r="W25" s="75" t="str">
        <f>IF(AND($T25="معتمد",$K25&gt;0),(IF('قياس الأداء للربع الأول'!$T24="معتمد",'قياس الأداء للربع الأول'!$M24,0)+IF('قياس الأداء للربع الثاني'!$Q24="معتمد",'قياس الأداء للربع الثاني'!$M24,0)+IF($T25="معتمد",$M25,0))/$K25,"")</f>
        <v/>
      </c>
      <c r="X25" s="40" t="str">
        <f t="shared" si="3"/>
        <v>د4د3-4نسبة رضا أصحاب المصلحة عن الجمعيةنسبةكلما زاد كان أفضلربع سنويإستمارات قياس رضا أصحاب المصلحة عن الجمعيةإدارة الإتصال المؤسسي00.940</v>
      </c>
    </row>
    <row r="26" spans="1:51" s="12" customFormat="1">
      <c r="A26" s="9" t="s">
        <v>165</v>
      </c>
      <c r="B26" s="9" t="s">
        <v>166</v>
      </c>
      <c r="C26" s="10" t="s">
        <v>167</v>
      </c>
      <c r="D26" s="10"/>
      <c r="E26" s="9" t="s">
        <v>168</v>
      </c>
      <c r="F26" s="9" t="s">
        <v>30</v>
      </c>
      <c r="G26" s="9" t="s">
        <v>31</v>
      </c>
      <c r="H26" s="9" t="s">
        <v>169</v>
      </c>
      <c r="I26" s="9" t="s">
        <v>107</v>
      </c>
      <c r="J26" s="9">
        <v>0</v>
      </c>
      <c r="K26" s="11">
        <v>200</v>
      </c>
      <c r="L26" s="50">
        <v>70</v>
      </c>
      <c r="M26" s="11"/>
      <c r="N26" s="73" t="str">
        <f t="shared" si="0"/>
        <v/>
      </c>
      <c r="O26" s="74" t="str">
        <f t="shared" si="1"/>
        <v/>
      </c>
      <c r="P26" s="73" t="str">
        <f t="shared" si="2"/>
        <v/>
      </c>
      <c r="Q26" s="10"/>
      <c r="R26" s="10"/>
      <c r="S26" s="10"/>
      <c r="T26" s="10"/>
      <c r="U26" s="10"/>
      <c r="V26" s="75" t="str">
        <f>IF($T26&lt;&gt;"معتمد","",IFERROR((IF(AND('قياس الأداء للربع الأول'!$T25="معتمد",'قياس الأداء للربع الأول'!$L25&gt;0),'قياس الأداء للربع الأول'!$M25,0)+IF(AND('قياس الأداء للربع الثاني'!$Q25="معتمد",'قياس الأداء للربع الثاني'!$L25&gt;0),'قياس الأداء للربع الثاني'!$M25,0)+IF(AND($T26="معتمد",$L26&gt;0),$M26,0))/(IF(AND('قياس الأداء للربع الأول'!$T25="معتمد",'قياس الأداء للربع الأول'!$L25&gt;0),'قياس الأداء للربع الأول'!$L25,0)+IF(AND('قياس الأداء للربع الثاني'!$Q25="معتمد",'قياس الأداء للربع الثاني'!$L25&gt;0),'قياس الأداء للربع الثاني'!$L25,0)+IF(AND($T26="معتمد",$L26&gt;0),$L26,0)),""))</f>
        <v/>
      </c>
      <c r="W26" s="75" t="str">
        <f>IF(AND($T26="معتمد",$K26&gt;0),(IF('قياس الأداء للربع الأول'!$T25="معتمد",'قياس الأداء للربع الأول'!$M25,0)+IF('قياس الأداء للربع الثاني'!$Q25="معتمد",'قياس الأداء للربع الثاني'!$M25,0)+IF($T26="معتمد",$M26,0))/$K26,"")</f>
        <v/>
      </c>
      <c r="X26" s="40" t="str">
        <f t="shared" si="3"/>
        <v>د5د1-5عدد المشاركات الإعلامية التي تخدم أهداف الجمعيةمشاركة إعلاميةكلما زاد كان أفضلربع سنويتقرير بالمشاركات الإعلامية التي نشرتها الجمعيةإدارة الإتصال المؤسسي020070</v>
      </c>
    </row>
    <row r="27" spans="1:51" s="12" customFormat="1">
      <c r="A27" s="9" t="s">
        <v>165</v>
      </c>
      <c r="B27" s="9" t="s">
        <v>173</v>
      </c>
      <c r="C27" s="10" t="s">
        <v>174</v>
      </c>
      <c r="D27" s="10"/>
      <c r="E27" s="9" t="s">
        <v>175</v>
      </c>
      <c r="F27" s="9" t="s">
        <v>30</v>
      </c>
      <c r="G27" s="9" t="s">
        <v>31</v>
      </c>
      <c r="H27" s="9" t="s">
        <v>176</v>
      </c>
      <c r="I27" s="9" t="s">
        <v>107</v>
      </c>
      <c r="J27" s="9">
        <v>0</v>
      </c>
      <c r="K27" s="11">
        <v>5000000</v>
      </c>
      <c r="L27" s="50">
        <v>2500000</v>
      </c>
      <c r="M27" s="11"/>
      <c r="N27" s="73" t="str">
        <f t="shared" si="0"/>
        <v/>
      </c>
      <c r="O27" s="74" t="str">
        <f t="shared" si="1"/>
        <v/>
      </c>
      <c r="P27" s="73" t="str">
        <f t="shared" si="2"/>
        <v/>
      </c>
      <c r="Q27" s="10"/>
      <c r="R27" s="10"/>
      <c r="S27" s="10"/>
      <c r="T27" s="10"/>
      <c r="U27" s="10"/>
      <c r="V27" s="75" t="str">
        <f>IF($T27&lt;&gt;"معتمد","",IFERROR((IF(AND('قياس الأداء للربع الأول'!$T26="معتمد",'قياس الأداء للربع الأول'!$L26&gt;0),'قياس الأداء للربع الأول'!$M26,0)+IF(AND('قياس الأداء للربع الثاني'!$Q26="معتمد",'قياس الأداء للربع الثاني'!$L26&gt;0),'قياس الأداء للربع الثاني'!$M26,0)+IF(AND($T27="معتمد",$L27&gt;0),$M27,0))/(IF(AND('قياس الأداء للربع الأول'!$T26="معتمد",'قياس الأداء للربع الأول'!$L26&gt;0),'قياس الأداء للربع الأول'!$L26,0)+IF(AND('قياس الأداء للربع الثاني'!$Q26="معتمد",'قياس الأداء للربع الثاني'!$L26&gt;0),'قياس الأداء للربع الثاني'!$L26,0)+IF(AND($T27="معتمد",$L27&gt;0),$L27,0)),""))</f>
        <v/>
      </c>
      <c r="W27" s="75" t="str">
        <f>IF(AND($T27="معتمد",$K27&gt;0),(IF('قياس الأداء للربع الأول'!$T26="معتمد",'قياس الأداء للربع الأول'!$M26,0)+IF('قياس الأداء للربع الثاني'!$Q26="معتمد",'قياس الأداء للربع الثاني'!$M26,0)+IF($T27="معتمد",$M27,0))/$K27,"")</f>
        <v/>
      </c>
      <c r="X27" s="40" t="str">
        <f t="shared" si="3"/>
        <v>د5د2-5عدد مرات الظهور الإعلامي (المشاهدات) مشاهدةكلما زاد كان أفضلربع سنويتقرير بالمشاهدات للمشاركات الإعلامية، بتوضيح كل قناة وعدد المشاهدات / الظهور فيهاإدارة الإتصال المؤسسي050000002500000</v>
      </c>
    </row>
    <row r="28" spans="1:51" s="12" customFormat="1">
      <c r="A28" s="9" t="s">
        <v>165</v>
      </c>
      <c r="B28" s="9" t="s">
        <v>181</v>
      </c>
      <c r="C28" s="10" t="s">
        <v>182</v>
      </c>
      <c r="D28" s="10"/>
      <c r="E28" s="9" t="s">
        <v>183</v>
      </c>
      <c r="F28" s="9" t="s">
        <v>30</v>
      </c>
      <c r="G28" s="9" t="s">
        <v>31</v>
      </c>
      <c r="H28" s="9" t="s">
        <v>184</v>
      </c>
      <c r="I28" s="9" t="s">
        <v>107</v>
      </c>
      <c r="J28" s="9">
        <v>0</v>
      </c>
      <c r="K28" s="11">
        <v>20</v>
      </c>
      <c r="L28" s="50">
        <v>20</v>
      </c>
      <c r="M28" s="11"/>
      <c r="N28" s="73" t="str">
        <f t="shared" si="0"/>
        <v/>
      </c>
      <c r="O28" s="74" t="str">
        <f t="shared" si="1"/>
        <v/>
      </c>
      <c r="P28" s="73" t="str">
        <f t="shared" si="2"/>
        <v/>
      </c>
      <c r="Q28" s="10"/>
      <c r="R28" s="10"/>
      <c r="S28" s="10"/>
      <c r="T28" s="10"/>
      <c r="U28" s="10"/>
      <c r="V28" s="75" t="str">
        <f>IF($T28&lt;&gt;"معتمد","",IFERROR((IF(AND('قياس الأداء للربع الأول'!$T27="معتمد",'قياس الأداء للربع الأول'!$L27&gt;0),'قياس الأداء للربع الأول'!$M27,0)+IF(AND('قياس الأداء للربع الثاني'!$Q27="معتمد",'قياس الأداء للربع الثاني'!$L27&gt;0),'قياس الأداء للربع الثاني'!$M27,0)+IF(AND($T28="معتمد",$L28&gt;0),$M28,0))/(IF(AND('قياس الأداء للربع الأول'!$T27="معتمد",'قياس الأداء للربع الأول'!$L27&gt;0),'قياس الأداء للربع الأول'!$L27,0)+IF(AND('قياس الأداء للربع الثاني'!$Q27="معتمد",'قياس الأداء للربع الثاني'!$L27&gt;0),'قياس الأداء للربع الثاني'!$L27,0)+IF(AND($T28="معتمد",$L28&gt;0),$L28,0)),""))</f>
        <v/>
      </c>
      <c r="W28" s="75" t="str">
        <f>IF(AND($T28="معتمد",$K28&gt;0),(IF('قياس الأداء للربع الأول'!$T27="معتمد",'قياس الأداء للربع الأول'!$M27,0)+IF('قياس الأداء للربع الثاني'!$Q27="معتمد",'قياس الأداء للربع الثاني'!$M27,0)+IF($T28="معتمد",$M28,0))/$K28,"")</f>
        <v/>
      </c>
      <c r="X28" s="40" t="str">
        <f t="shared" si="3"/>
        <v>د5د3-5عدد قنوات الظهور الإعلاميقناةكلما زاد كان أفضلربع سنويقائمة بالقنوات الإعلاميةإدارة الإتصال المؤسسي02020</v>
      </c>
    </row>
    <row r="29" spans="1:51" s="12" customFormat="1">
      <c r="A29" s="9" t="s">
        <v>188</v>
      </c>
      <c r="B29" s="9" t="s">
        <v>189</v>
      </c>
      <c r="C29" s="10" t="s">
        <v>190</v>
      </c>
      <c r="D29" s="10"/>
      <c r="E29" s="9" t="s">
        <v>191</v>
      </c>
      <c r="F29" s="9" t="s">
        <v>30</v>
      </c>
      <c r="G29" s="9" t="s">
        <v>31</v>
      </c>
      <c r="H29" s="9" t="s">
        <v>192</v>
      </c>
      <c r="I29" s="9" t="s">
        <v>193</v>
      </c>
      <c r="J29" s="9">
        <v>0</v>
      </c>
      <c r="K29" s="11">
        <v>50</v>
      </c>
      <c r="L29" s="50">
        <v>10</v>
      </c>
      <c r="M29" s="11"/>
      <c r="N29" s="73" t="str">
        <f t="shared" si="0"/>
        <v/>
      </c>
      <c r="O29" s="74" t="str">
        <f t="shared" si="1"/>
        <v/>
      </c>
      <c r="P29" s="73" t="str">
        <f t="shared" si="2"/>
        <v/>
      </c>
      <c r="Q29" s="10"/>
      <c r="R29" s="10"/>
      <c r="S29" s="10"/>
      <c r="T29" s="10"/>
      <c r="U29" s="10"/>
      <c r="V29" s="75" t="str">
        <f>IF($T29&lt;&gt;"معتمد","",IFERROR((IF(AND('قياس الأداء للربع الأول'!$T28="معتمد",'قياس الأداء للربع الأول'!$L28&gt;0),'قياس الأداء للربع الأول'!$M28,0)+IF(AND('قياس الأداء للربع الثاني'!$Q28="معتمد",'قياس الأداء للربع الثاني'!$L28&gt;0),'قياس الأداء للربع الثاني'!$M28,0)+IF(AND($T29="معتمد",$L29&gt;0),$M29,0))/(IF(AND('قياس الأداء للربع الأول'!$T28="معتمد",'قياس الأداء للربع الأول'!$L28&gt;0),'قياس الأداء للربع الأول'!$L28,0)+IF(AND('قياس الأداء للربع الثاني'!$Q28="معتمد",'قياس الأداء للربع الثاني'!$L28&gt;0),'قياس الأداء للربع الثاني'!$L28,0)+IF(AND($T29="معتمد",$L29&gt;0),$L29,0)),""))</f>
        <v/>
      </c>
      <c r="W29" s="75" t="str">
        <f>IF(AND($T29="معتمد",$K29&gt;0),(IF('قياس الأداء للربع الأول'!$T28="معتمد",'قياس الأداء للربع الأول'!$M28,0)+IF('قياس الأداء للربع الثاني'!$Q28="معتمد",'قياس الأداء للربع الثاني'!$M28,0)+IF($T29="معتمد",$M29,0))/$K29,"")</f>
        <v/>
      </c>
      <c r="X29" s="40" t="str">
        <f t="shared" si="3"/>
        <v>ن1ن1-1متوسط عدد الساعات التطويرية المقدمة للفردساعةكلما زاد كان أفضلربع سنويتقرير بالساعات التطويرية المقدمة لموظفي الجمعية ونوع التطوير المقدمإدارة الأداء و النمو05010</v>
      </c>
    </row>
    <row r="30" spans="1:51" s="12" customFormat="1">
      <c r="A30" s="9" t="s">
        <v>188</v>
      </c>
      <c r="B30" s="9" t="s">
        <v>194</v>
      </c>
      <c r="C30" s="10" t="s">
        <v>195</v>
      </c>
      <c r="D30" s="10"/>
      <c r="E30" s="9" t="s">
        <v>37</v>
      </c>
      <c r="F30" s="9" t="s">
        <v>30</v>
      </c>
      <c r="G30" s="9" t="s">
        <v>31</v>
      </c>
      <c r="H30" s="9" t="s">
        <v>196</v>
      </c>
      <c r="I30" s="9" t="s">
        <v>193</v>
      </c>
      <c r="J30" s="9">
        <v>0</v>
      </c>
      <c r="K30" s="11">
        <v>0.65</v>
      </c>
      <c r="L30" s="50">
        <v>0.45</v>
      </c>
      <c r="M30" s="11"/>
      <c r="N30" s="73" t="str">
        <f t="shared" si="0"/>
        <v/>
      </c>
      <c r="O30" s="74" t="str">
        <f t="shared" si="1"/>
        <v/>
      </c>
      <c r="P30" s="73" t="str">
        <f t="shared" si="2"/>
        <v/>
      </c>
      <c r="Q30" s="13"/>
      <c r="R30" s="13"/>
      <c r="S30" s="13"/>
      <c r="T30" s="13"/>
      <c r="U30" s="13"/>
      <c r="V30" s="75" t="str">
        <f>IF($T30&lt;&gt;"معتمد","",IFERROR((IF(AND('قياس الأداء للربع الأول'!$T29="معتمد",'قياس الأداء للربع الأول'!$L29&gt;0),'قياس الأداء للربع الأول'!$M29,0)+IF(AND('قياس الأداء للربع الثاني'!$Q29="معتمد",'قياس الأداء للربع الثاني'!$L29&gt;0),'قياس الأداء للربع الثاني'!$M29,0)+IF(AND($T30="معتمد",$L30&gt;0),$M30,0))/(IF(AND('قياس الأداء للربع الأول'!$T29="معتمد",'قياس الأداء للربع الأول'!$L29&gt;0),'قياس الأداء للربع الأول'!$L29,0)+IF(AND('قياس الأداء للربع الثاني'!$Q29="معتمد",'قياس الأداء للربع الثاني'!$L29&gt;0),'قياس الأداء للربع الثاني'!$L29,0)+IF(AND($T30="معتمد",$L30&gt;0),$L30,0)),""))</f>
        <v/>
      </c>
      <c r="W30" s="75" t="str">
        <f>IF(AND($T30="معتمد",$K30&gt;0),(IF('قياس الأداء للربع الأول'!$T29="معتمد",'قياس الأداء للربع الأول'!$M29,0)+IF('قياس الأداء للربع الثاني'!$Q29="معتمد",'قياس الأداء للربع الثاني'!$M29,0)+IF($T30="معتمد",$M30,0))/$K30,"")</f>
        <v/>
      </c>
      <c r="X30" s="40" t="str">
        <f t="shared" si="3"/>
        <v>ن1ن2-1نسبة الموظفين المؤهلين مهنيًا في وظائفهمنسبةكلما زاد كان أفضلربع سنويتقرير بالموظفين الحاصلين على التأهيل وخطط الإحتياج المهني لهمإدارة الأداء و النمو00.650.45</v>
      </c>
    </row>
    <row r="31" spans="1:51" s="12" customFormat="1" ht="38.25" customHeight="1">
      <c r="A31" s="9" t="s">
        <v>197</v>
      </c>
      <c r="B31" s="9" t="s">
        <v>198</v>
      </c>
      <c r="C31" s="10" t="s">
        <v>199</v>
      </c>
      <c r="D31" s="10"/>
      <c r="E31" s="9" t="s">
        <v>200</v>
      </c>
      <c r="F31" s="9" t="s">
        <v>30</v>
      </c>
      <c r="G31" s="9" t="s">
        <v>31</v>
      </c>
      <c r="H31" s="19" t="s">
        <v>201</v>
      </c>
      <c r="I31" s="9" t="s">
        <v>62</v>
      </c>
      <c r="J31" s="9">
        <v>0</v>
      </c>
      <c r="K31" s="11">
        <v>2500</v>
      </c>
      <c r="L31" s="50">
        <v>1300</v>
      </c>
      <c r="M31" s="11"/>
      <c r="N31" s="73" t="str">
        <f t="shared" si="0"/>
        <v/>
      </c>
      <c r="O31" s="74" t="str">
        <f t="shared" si="1"/>
        <v/>
      </c>
      <c r="P31" s="73" t="str">
        <f t="shared" si="2"/>
        <v/>
      </c>
      <c r="Q31" s="10"/>
      <c r="R31" s="10"/>
      <c r="S31" s="10"/>
      <c r="T31" s="10"/>
      <c r="U31" s="10"/>
      <c r="V31" s="75" t="str">
        <f>IF($T31&lt;&gt;"معتمد","",IFERROR((IF(AND('قياس الأداء للربع الأول'!$T30="معتمد",'قياس الأداء للربع الأول'!$L30&gt;0),'قياس الأداء للربع الأول'!$M30,0)+IF(AND('قياس الأداء للربع الثاني'!$Q30="معتمد",'قياس الأداء للربع الثاني'!$L30&gt;0),'قياس الأداء للربع الثاني'!$M30,0)+IF(AND($T31="معتمد",$L31&gt;0),$M31,0))/(IF(AND('قياس الأداء للربع الأول'!$T30="معتمد",'قياس الأداء للربع الأول'!$L30&gt;0),'قياس الأداء للربع الأول'!$L30,0)+IF(AND('قياس الأداء للربع الثاني'!$Q30="معتمد",'قياس الأداء للربع الثاني'!$L30&gt;0),'قياس الأداء للربع الثاني'!$L30,0)+IF(AND($T31="معتمد",$L31&gt;0),$L31,0)),""))</f>
        <v/>
      </c>
      <c r="W31" s="75" t="str">
        <f>IF(AND($T31="معتمد",$K31&gt;0),(IF('قياس الأداء للربع الأول'!$T30="معتمد",'قياس الأداء للربع الأول'!$M30,0)+IF('قياس الأداء للربع الثاني'!$Q30="معتمد",'قياس الأداء للربع الثاني'!$M30,0)+IF($T31="معتمد",$M31,0))/$K31,"")</f>
        <v/>
      </c>
      <c r="X31" s="40" t="str">
        <f t="shared" si="3"/>
        <v>ن2ن1-2عدد المتطوعين في أعمال وبرامج الجمعية (بدون تكرار)متطوعكلما زاد كان أفضلربع سنويتقرير بأسماء المشاريع أو البرامج التي شارك فيها متطوعون وعددهم + تقرير بالمتطوعين المشاركين
في إدارات الجمعيةإدارة التكافل المجتمعي025001300</v>
      </c>
    </row>
    <row r="32" spans="1:51" s="12" customFormat="1">
      <c r="A32" s="9" t="s">
        <v>197</v>
      </c>
      <c r="B32" s="9" t="s">
        <v>205</v>
      </c>
      <c r="C32" s="10" t="s">
        <v>206</v>
      </c>
      <c r="D32" s="10"/>
      <c r="E32" s="9" t="s">
        <v>191</v>
      </c>
      <c r="F32" s="9" t="s">
        <v>30</v>
      </c>
      <c r="G32" s="9" t="s">
        <v>31</v>
      </c>
      <c r="H32" s="9" t="s">
        <v>207</v>
      </c>
      <c r="I32" s="9" t="s">
        <v>62</v>
      </c>
      <c r="J32" s="9">
        <v>0</v>
      </c>
      <c r="K32" s="11">
        <v>70000</v>
      </c>
      <c r="L32" s="50">
        <v>32000</v>
      </c>
      <c r="M32" s="11"/>
      <c r="N32" s="73" t="str">
        <f t="shared" si="0"/>
        <v/>
      </c>
      <c r="O32" s="74" t="str">
        <f t="shared" si="1"/>
        <v/>
      </c>
      <c r="P32" s="73" t="str">
        <f t="shared" si="2"/>
        <v/>
      </c>
      <c r="Q32" s="10"/>
      <c r="R32" s="10"/>
      <c r="S32" s="10"/>
      <c r="T32" s="10"/>
      <c r="U32" s="10"/>
      <c r="V32" s="75" t="str">
        <f>IF($T32&lt;&gt;"معتمد","",IFERROR((IF(AND('قياس الأداء للربع الأول'!$T31="معتمد",'قياس الأداء للربع الأول'!$L31&gt;0),'قياس الأداء للربع الأول'!$M31,0)+IF(AND('قياس الأداء للربع الثاني'!$Q31="معتمد",'قياس الأداء للربع الثاني'!$L31&gt;0),'قياس الأداء للربع الثاني'!$M31,0)+IF(AND($T32="معتمد",$L32&gt;0),$M32,0))/(IF(AND('قياس الأداء للربع الأول'!$T31="معتمد",'قياس الأداء للربع الأول'!$L31&gt;0),'قياس الأداء للربع الأول'!$L31,0)+IF(AND('قياس الأداء للربع الثاني'!$Q31="معتمد",'قياس الأداء للربع الثاني'!$L31&gt;0),'قياس الأداء للربع الثاني'!$L31,0)+IF(AND($T32="معتمد",$L32&gt;0),$L32,0)),""))</f>
        <v/>
      </c>
      <c r="W32" s="75" t="str">
        <f>IF(AND($T32="معتمد",$K32&gt;0),(IF('قياس الأداء للربع الأول'!$T31="معتمد",'قياس الأداء للربع الأول'!$M31,0)+IF('قياس الأداء للربع الثاني'!$Q31="معتمد",'قياس الأداء للربع الثاني'!$M31,0)+IF($T32="معتمد",$M32,0))/$K32,"")</f>
        <v/>
      </c>
      <c r="X32" s="40" t="str">
        <f t="shared" si="3"/>
        <v>ن2ن2-2عدد الساعات التطوعيةساعةكلما زاد كان أفضلربع سنويتقرير بالساعات التطوعية التي تم تسجيلها منصة التطوع + (من لم تنطبق عليه الشروط)إدارة التكافل المجتمعي07000032000</v>
      </c>
    </row>
    <row r="33" spans="1:24" s="12" customFormat="1">
      <c r="A33" s="9" t="s">
        <v>210</v>
      </c>
      <c r="B33" s="9" t="s">
        <v>211</v>
      </c>
      <c r="C33" s="10" t="s">
        <v>212</v>
      </c>
      <c r="D33" s="10"/>
      <c r="E33" s="9" t="s">
        <v>37</v>
      </c>
      <c r="F33" s="9" t="s">
        <v>30</v>
      </c>
      <c r="G33" s="9" t="s">
        <v>31</v>
      </c>
      <c r="H33" s="9" t="s">
        <v>213</v>
      </c>
      <c r="I33" s="9" t="s">
        <v>193</v>
      </c>
      <c r="J33" s="9">
        <v>0</v>
      </c>
      <c r="K33" s="11">
        <v>0.88</v>
      </c>
      <c r="L33" s="53">
        <v>0.85</v>
      </c>
      <c r="M33" s="11"/>
      <c r="N33" s="73" t="str">
        <f t="shared" si="0"/>
        <v/>
      </c>
      <c r="O33" s="74" t="str">
        <f t="shared" si="1"/>
        <v/>
      </c>
      <c r="P33" s="73" t="str">
        <f t="shared" si="2"/>
        <v/>
      </c>
      <c r="Q33" s="13"/>
      <c r="R33" s="13"/>
      <c r="S33" s="13"/>
      <c r="T33" s="13"/>
      <c r="U33" s="13"/>
      <c r="V33" s="75" t="str">
        <f>IF($T33&lt;&gt;"معتمد","",IFERROR((IF(AND('قياس الأداء للربع الأول'!$T32="معتمد",'قياس الأداء للربع الأول'!$L32&gt;0),'قياس الأداء للربع الأول'!$M32,0)+IF(AND('قياس الأداء للربع الثاني'!$Q32="معتمد",'قياس الأداء للربع الثاني'!$L32&gt;0),'قياس الأداء للربع الثاني'!$M32,0)+IF(AND($T33="معتمد",$L33&gt;0),$M33,0))/(IF(AND('قياس الأداء للربع الأول'!$T32="معتمد",'قياس الأداء للربع الأول'!$L32&gt;0),'قياس الأداء للربع الأول'!$L32,0)+IF(AND('قياس الأداء للربع الثاني'!$Q32="معتمد",'قياس الأداء للربع الثاني'!$L32&gt;0),'قياس الأداء للربع الثاني'!$L32,0)+IF(AND($T33="معتمد",$L33&gt;0),$L33,0)),""))</f>
        <v/>
      </c>
      <c r="W33" s="75" t="str">
        <f>IF(AND($T33="معتمد",$K33&gt;0),(IF('قياس الأداء للربع الأول'!$T32="معتمد",'قياس الأداء للربع الأول'!$M32,0)+IF('قياس الأداء للربع الثاني'!$Q32="معتمد",'قياس الأداء للربع الثاني'!$M32,0)+IF($T33="معتمد",$M33,0))/$K33,"")</f>
        <v/>
      </c>
      <c r="X33" s="40" t="str">
        <f t="shared" si="3"/>
        <v>ن3ن1-3نسبة رضا العاملين عن بيئة العمل نسبةكلما زاد كان أفضلربع سنويإستمارات قياس رضا العاملينإدارة الأداء و النمو00.880.85</v>
      </c>
    </row>
    <row r="34" spans="1:24" s="12" customFormat="1">
      <c r="A34" s="9" t="s">
        <v>210</v>
      </c>
      <c r="B34" s="9" t="s">
        <v>214</v>
      </c>
      <c r="C34" s="10" t="s">
        <v>215</v>
      </c>
      <c r="D34" s="10"/>
      <c r="E34" s="9" t="s">
        <v>29</v>
      </c>
      <c r="F34" s="9" t="s">
        <v>30</v>
      </c>
      <c r="G34" s="9" t="s">
        <v>31</v>
      </c>
      <c r="H34" s="9" t="s">
        <v>216</v>
      </c>
      <c r="I34" s="9" t="s">
        <v>193</v>
      </c>
      <c r="J34" s="9">
        <v>0</v>
      </c>
      <c r="K34" s="11">
        <v>70000</v>
      </c>
      <c r="L34" s="50">
        <v>20000</v>
      </c>
      <c r="M34" s="11"/>
      <c r="N34" s="73" t="str">
        <f t="shared" si="0"/>
        <v/>
      </c>
      <c r="O34" s="74" t="str">
        <f t="shared" si="1"/>
        <v/>
      </c>
      <c r="P34" s="73" t="str">
        <f t="shared" si="2"/>
        <v/>
      </c>
      <c r="Q34" s="17"/>
      <c r="R34" s="17"/>
      <c r="S34" s="17"/>
      <c r="T34" s="17"/>
      <c r="U34" s="17"/>
      <c r="V34" s="75" t="str">
        <f>IF($T34&lt;&gt;"معتمد","",IFERROR((IF(AND('قياس الأداء للربع الأول'!$T33="معتمد",'قياس الأداء للربع الأول'!$L33&gt;0),'قياس الأداء للربع الأول'!$M33,0)+IF(AND('قياس الأداء للربع الثاني'!$Q33="معتمد",'قياس الأداء للربع الثاني'!$L33&gt;0),'قياس الأداء للربع الثاني'!$M33,0)+IF(AND($T34="معتمد",$L34&gt;0),$M34,0))/(IF(AND('قياس الأداء للربع الأول'!$T33="معتمد",'قياس الأداء للربع الأول'!$L33&gt;0),'قياس الأداء للربع الأول'!$L33,0)+IF(AND('قياس الأداء للربع الثاني'!$Q33="معتمد",'قياس الأداء للربع الثاني'!$L33&gt;0),'قياس الأداء للربع الثاني'!$L33,0)+IF(AND($T34="معتمد",$L34&gt;0),$L34,0)),""))</f>
        <v/>
      </c>
      <c r="W34" s="75" t="str">
        <f>IF(AND($T34="معتمد",$K34&gt;0),(IF('قياس الأداء للربع الأول'!$T33="معتمد",'قياس الأداء للربع الأول'!$M33,0)+IF('قياس الأداء للربع الثاني'!$Q33="معتمد",'قياس الأداء للربع الثاني'!$M33,0)+IF($T34="معتمد",$M34,0))/$K34,"")</f>
        <v/>
      </c>
      <c r="X34" s="40" t="str">
        <f t="shared" si="3"/>
        <v>ن3ن2-3إجمالي تكلفة المبادرات التحفيزية للعاملين  ريالكلما زاد كان أفضلربع سنويتقرير بالمبادرات المنفذة لتحفيز العاملين وتكاليفها الماليةإدارة الأداء و النمو07000020000</v>
      </c>
    </row>
    <row r="35" spans="1:24" s="12" customFormat="1">
      <c r="A35" s="9" t="s">
        <v>220</v>
      </c>
      <c r="B35" s="9" t="s">
        <v>221</v>
      </c>
      <c r="C35" s="10" t="s">
        <v>222</v>
      </c>
      <c r="D35" s="10"/>
      <c r="E35" s="9" t="s">
        <v>223</v>
      </c>
      <c r="F35" s="9" t="s">
        <v>30</v>
      </c>
      <c r="G35" s="9" t="s">
        <v>31</v>
      </c>
      <c r="H35" s="9" t="s">
        <v>224</v>
      </c>
      <c r="I35" s="9" t="s">
        <v>225</v>
      </c>
      <c r="J35" s="9">
        <v>0</v>
      </c>
      <c r="K35" s="11">
        <v>1</v>
      </c>
      <c r="L35" s="54">
        <v>1</v>
      </c>
      <c r="M35" s="11"/>
      <c r="N35" s="73" t="str">
        <f t="shared" ref="N35:N66" si="4">IF(AND($T35="معتمد",$L35&gt;0),$M35/$L35,"")</f>
        <v/>
      </c>
      <c r="O35" s="74" t="str">
        <f t="shared" ref="O35:O66" si="5">IF($T35="معتمد",$M35-$L35,"")</f>
        <v/>
      </c>
      <c r="P35" s="73" t="str">
        <f t="shared" ref="P35:P66" si="6">IF(AND($T35="معتمد",$L35&gt;0),($M35-$L35)/$L35,"")</f>
        <v/>
      </c>
      <c r="Q35" s="13"/>
      <c r="R35" s="13"/>
      <c r="S35" s="13"/>
      <c r="T35" s="13"/>
      <c r="U35" s="13"/>
      <c r="V35" s="75" t="str">
        <f>IF($T35&lt;&gt;"معتمد","",IFERROR((IF(AND('قياس الأداء للربع الأول'!$T34="معتمد",'قياس الأداء للربع الأول'!$L34&gt;0),'قياس الأداء للربع الأول'!$M34,0)+IF(AND('قياس الأداء للربع الثاني'!$Q34="معتمد",'قياس الأداء للربع الثاني'!$L34&gt;0),'قياس الأداء للربع الثاني'!$M34,0)+IF(AND($T35="معتمد",$L35&gt;0),$M35,0))/(IF(AND('قياس الأداء للربع الأول'!$T34="معتمد",'قياس الأداء للربع الأول'!$L34&gt;0),'قياس الأداء للربع الأول'!$L34,0)+IF(AND('قياس الأداء للربع الثاني'!$Q34="معتمد",'قياس الأداء للربع الثاني'!$L34&gt;0),'قياس الأداء للربع الثاني'!$L34,0)+IF(AND($T35="معتمد",$L35&gt;0),$L35,0)),""))</f>
        <v/>
      </c>
      <c r="W35" s="75" t="str">
        <f>IF(AND($T35="معتمد",$K35&gt;0),(IF('قياس الأداء للربع الأول'!$T34="معتمد",'قياس الأداء للربع الأول'!$M34,0)+IF('قياس الأداء للربع الثاني'!$Q34="معتمد",'قياس الأداء للربع الثاني'!$M34,0)+IF($T35="معتمد",$M35,0))/$K35,"")</f>
        <v/>
      </c>
      <c r="X35" s="40" t="str">
        <f t="shared" ref="X35:X66" si="7">A35&amp;B35&amp;C35&amp;D35&amp;E35&amp;F35&amp;G35&amp;H35&amp;I35&amp;J35&amp;K35&amp;L35&amp;M35&amp;N35&amp;O35&amp;P35&amp;Q35&amp;R35&amp;S35&amp;T35&amp;U35&amp;V35&amp;W35</f>
        <v>ن4ن1-4نسبة إكتمال اللوائح والسياساتلائحة،سياسةكلما زاد كان أفضلربع سنويقائمة باللوائح المعتمدة للبناء مع توضيح المنجز منهاجميع الإدارات011</v>
      </c>
    </row>
    <row r="36" spans="1:24" s="12" customFormat="1">
      <c r="A36" s="9" t="s">
        <v>220</v>
      </c>
      <c r="B36" s="9" t="s">
        <v>226</v>
      </c>
      <c r="C36" s="10" t="s">
        <v>227</v>
      </c>
      <c r="D36" s="10"/>
      <c r="E36" s="9" t="s">
        <v>228</v>
      </c>
      <c r="F36" s="9" t="s">
        <v>30</v>
      </c>
      <c r="G36" s="9" t="s">
        <v>229</v>
      </c>
      <c r="H36" s="9" t="s">
        <v>230</v>
      </c>
      <c r="I36" s="9" t="s">
        <v>193</v>
      </c>
      <c r="J36" s="9">
        <v>0</v>
      </c>
      <c r="K36" s="11">
        <v>1</v>
      </c>
      <c r="L36" s="54">
        <v>1</v>
      </c>
      <c r="M36" s="11"/>
      <c r="N36" s="73" t="str">
        <f t="shared" si="4"/>
        <v/>
      </c>
      <c r="O36" s="74" t="str">
        <f t="shared" si="5"/>
        <v/>
      </c>
      <c r="P36" s="73" t="str">
        <f t="shared" si="6"/>
        <v/>
      </c>
      <c r="Q36" s="13"/>
      <c r="R36" s="13"/>
      <c r="S36" s="13"/>
      <c r="T36" s="13"/>
      <c r="U36" s="13"/>
      <c r="V36" s="75" t="str">
        <f>IF($T36&lt;&gt;"معتمد","",IFERROR((IF(AND('قياس الأداء للربع الأول'!$T35="معتمد",'قياس الأداء للربع الأول'!$L35&gt;0),'قياس الأداء للربع الأول'!$M35,0)+IF(AND('قياس الأداء للربع الثاني'!$Q35="معتمد",'قياس الأداء للربع الثاني'!$L35&gt;0),'قياس الأداء للربع الثاني'!$M35,0)+IF(AND($T36="معتمد",$L36&gt;0),$M36,0))/(IF(AND('قياس الأداء للربع الأول'!$T35="معتمد",'قياس الأداء للربع الأول'!$L35&gt;0),'قياس الأداء للربع الأول'!$L35,0)+IF(AND('قياس الأداء للربع الثاني'!$Q35="معتمد",'قياس الأداء للربع الثاني'!$L35&gt;0),'قياس الأداء للربع الثاني'!$L35,0)+IF(AND($T36="معتمد",$L36&gt;0),$L36,0)),""))</f>
        <v/>
      </c>
      <c r="W36" s="75" t="str">
        <f>IF(AND($T36="معتمد",$K36&gt;0),(IF('قياس الأداء للربع الأول'!$T35="معتمد",'قياس الأداء للربع الأول'!$M35,0)+IF('قياس الأداء للربع الثاني'!$Q35="معتمد",'قياس الأداء للربع الثاني'!$M35,0)+IF($T36="معتمد",$M36,0))/$K36,"")</f>
        <v/>
      </c>
      <c r="X36" s="40" t="str">
        <f t="shared" si="7"/>
        <v>ن4ن2-4الدرجة المتحصلة في معايير الحوكمةدرجةكلما زاد كان أفضلسنويتقرير قياس المعيارإدارة الأداء و النمو011</v>
      </c>
    </row>
    <row r="37" spans="1:24" s="12" customFormat="1">
      <c r="A37" s="9" t="s">
        <v>231</v>
      </c>
      <c r="B37" s="9" t="s">
        <v>232</v>
      </c>
      <c r="C37" s="10" t="s">
        <v>233</v>
      </c>
      <c r="D37" s="10"/>
      <c r="E37" s="9" t="s">
        <v>60</v>
      </c>
      <c r="F37" s="9" t="s">
        <v>30</v>
      </c>
      <c r="G37" s="21" t="s">
        <v>31</v>
      </c>
      <c r="H37" s="9" t="s">
        <v>234</v>
      </c>
      <c r="I37" s="22" t="s">
        <v>140</v>
      </c>
      <c r="J37" s="9">
        <v>0</v>
      </c>
      <c r="K37" s="18">
        <v>4</v>
      </c>
      <c r="L37" s="51">
        <v>0</v>
      </c>
      <c r="M37" s="18"/>
      <c r="N37" s="73" t="str">
        <f t="shared" si="4"/>
        <v/>
      </c>
      <c r="O37" s="78" t="str">
        <f t="shared" si="5"/>
        <v/>
      </c>
      <c r="P37" s="79" t="str">
        <f t="shared" si="6"/>
        <v/>
      </c>
      <c r="Q37" s="9"/>
      <c r="R37" s="9"/>
      <c r="S37" s="9"/>
      <c r="T37" s="9"/>
      <c r="U37" s="9"/>
      <c r="V37" s="75" t="str">
        <f>IF($T37&lt;&gt;"معتمد","",IFERROR((IF(AND('قياس الأداء للربع الأول'!$T36="معتمد",'قياس الأداء للربع الأول'!$L36&gt;0),'قياس الأداء للربع الأول'!$M36,0)+IF(AND('قياس الأداء للربع الثاني'!$Q36="معتمد",'قياس الأداء للربع الثاني'!$L36&gt;0),'قياس الأداء للربع الثاني'!$M36,0)+IF(AND($T37="معتمد",$L37&gt;0),$M37,0))/(IF(AND('قياس الأداء للربع الأول'!$T36="معتمد",'قياس الأداء للربع الأول'!$L36&gt;0),'قياس الأداء للربع الأول'!$L36,0)+IF(AND('قياس الأداء للربع الثاني'!$Q36="معتمد",'قياس الأداء للربع الثاني'!$L36&gt;0),'قياس الأداء للربع الثاني'!$L36,0)+IF(AND($T37="معتمد",$L37&gt;0),$L37,0)),""))</f>
        <v/>
      </c>
      <c r="W37" s="75" t="str">
        <f>IF(AND($T37="معتمد",$K37&gt;0),(IF('قياس الأداء للربع الأول'!$T36="معتمد",'قياس الأداء للربع الأول'!$M36,0)+IF('قياس الأداء للربع الثاني'!$Q36="معتمد",'قياس الأداء للربع الثاني'!$M36,0)+IF($T37="معتمد",$M37,0))/$K37,"")</f>
        <v/>
      </c>
      <c r="X37" s="40" t="str">
        <f t="shared" si="7"/>
        <v>ن5ن1-5عدد المبادرات المنفذة في تطوير إدارة المعرفةمبادرةكلما زاد كان أفضلربع سنويقائمة بمبادرات إدارة المعرفة المنفذةإدارة الشؤون المالية و الإدارية،إدارة الأداء و النمو040</v>
      </c>
    </row>
    <row r="38" spans="1:24" s="12" customFormat="1">
      <c r="A38" s="23" t="s">
        <v>235</v>
      </c>
      <c r="B38" s="23" t="s">
        <v>236</v>
      </c>
      <c r="C38" s="15" t="s">
        <v>237</v>
      </c>
      <c r="D38" s="24"/>
      <c r="E38" s="25" t="s">
        <v>37</v>
      </c>
      <c r="F38" s="23" t="s">
        <v>30</v>
      </c>
      <c r="G38" s="15" t="s">
        <v>31</v>
      </c>
      <c r="H38" s="26" t="s">
        <v>423</v>
      </c>
      <c r="I38" s="9" t="s">
        <v>193</v>
      </c>
      <c r="J38" s="23">
        <v>0</v>
      </c>
      <c r="K38" s="27">
        <v>30</v>
      </c>
      <c r="L38" s="55">
        <v>3</v>
      </c>
      <c r="M38" s="28"/>
      <c r="N38" s="73" t="str">
        <f t="shared" si="4"/>
        <v/>
      </c>
      <c r="O38" s="80" t="str">
        <f t="shared" si="5"/>
        <v/>
      </c>
      <c r="P38" s="81" t="str">
        <f t="shared" si="6"/>
        <v/>
      </c>
      <c r="Q38" s="29"/>
      <c r="R38" s="29"/>
      <c r="S38" s="29"/>
      <c r="T38" s="29"/>
      <c r="U38" s="29"/>
      <c r="V38" s="82" t="str">
        <f>IF($T38&lt;&gt;"معتمد","",IFERROR((IF(AND('قياس الأداء للربع الأول'!$T37="معتمد",'قياس الأداء للربع الأول'!$L37&gt;0),'قياس الأداء للربع الأول'!$M37,0)+IF(AND('قياس الأداء للربع الثاني'!$Q37="معتمد",'قياس الأداء للربع الثاني'!$L37&gt;0),'قياس الأداء للربع الثاني'!$M37,0)+IF(AND($T38="معتمد",$L38&gt;0),$M38,0))/(IF(AND('قياس الأداء للربع الأول'!$T37="معتمد",'قياس الأداء للربع الأول'!$L37&gt;0),'قياس الأداء للربع الأول'!$L37,0)+IF(AND('قياس الأداء للربع الثاني'!$Q37="معتمد",'قياس الأداء للربع الثاني'!$L37&gt;0),'قياس الأداء للربع الثاني'!$L37,0)+IF(AND($T38="معتمد",$L38&gt;0),$L38,0)),""))</f>
        <v/>
      </c>
      <c r="W38" s="83" t="str">
        <f>IF(AND($T38="معتمد",$K38&gt;0),(IF('قياس الأداء للربع الأول'!$T37="معتمد",'قياس الأداء للربع الأول'!$M37,0)+IF('قياس الأداء للربع الثاني'!$Q37="معتمد",'قياس الأداء للربع الثاني'!$M37,0)+IF($T38="معتمد",$M38,0))/$K38,"")</f>
        <v/>
      </c>
      <c r="X38" s="40" t="str">
        <f t="shared" si="7"/>
        <v>FIN-01FIN-01-KPI-01نسبة إشغال العقارات الاستثماريةنسبةكلما زاد كان أفضلربع سنويتقريرإدارة الأداء و النمو0303</v>
      </c>
    </row>
    <row r="39" spans="1:24" s="12" customFormat="1">
      <c r="A39" s="23" t="s">
        <v>240</v>
      </c>
      <c r="B39" s="23" t="s">
        <v>241</v>
      </c>
      <c r="C39" s="15" t="s">
        <v>242</v>
      </c>
      <c r="D39" s="24"/>
      <c r="E39" s="25" t="s">
        <v>37</v>
      </c>
      <c r="F39" s="23" t="s">
        <v>30</v>
      </c>
      <c r="G39" s="15" t="s">
        <v>31</v>
      </c>
      <c r="H39" s="26" t="s">
        <v>423</v>
      </c>
      <c r="I39" s="9" t="s">
        <v>193</v>
      </c>
      <c r="J39" s="23">
        <v>0</v>
      </c>
      <c r="K39" s="27">
        <v>100000</v>
      </c>
      <c r="L39" s="56">
        <v>20000</v>
      </c>
      <c r="M39" s="28"/>
      <c r="N39" s="73" t="str">
        <f t="shared" si="4"/>
        <v/>
      </c>
      <c r="O39" s="80" t="str">
        <f t="shared" si="5"/>
        <v/>
      </c>
      <c r="P39" s="81" t="str">
        <f t="shared" si="6"/>
        <v/>
      </c>
      <c r="Q39" s="29"/>
      <c r="R39" s="29"/>
      <c r="S39" s="29"/>
      <c r="T39" s="29"/>
      <c r="U39" s="29"/>
      <c r="V39" s="82" t="str">
        <f>IF($T39&lt;&gt;"معتمد","",IFERROR((IF(AND('قياس الأداء للربع الأول'!$T38="معتمد",'قياس الأداء للربع الأول'!$L38&gt;0),'قياس الأداء للربع الأول'!$M38,0)+IF(AND('قياس الأداء للربع الثاني'!$Q38="معتمد",'قياس الأداء للربع الثاني'!$L38&gt;0),'قياس الأداء للربع الثاني'!$M38,0)+IF(AND($T39="معتمد",$L39&gt;0),$M39,0))/(IF(AND('قياس الأداء للربع الأول'!$T38="معتمد",'قياس الأداء للربع الأول'!$L38&gt;0),'قياس الأداء للربع الأول'!$L38,0)+IF(AND('قياس الأداء للربع الثاني'!$Q38="معتمد",'قياس الأداء للربع الثاني'!$L38&gt;0),'قياس الأداء للربع الثاني'!$L38,0)+IF(AND($T39="معتمد",$L39&gt;0),$L39,0)),""))</f>
        <v/>
      </c>
      <c r="W39" s="83" t="str">
        <f>IF(AND($T39="معتمد",$K39&gt;0),(IF('قياس الأداء للربع الأول'!$T38="معتمد",'قياس الأداء للربع الأول'!$M38,0)+IF('قياس الأداء للربع الثاني'!$Q38="معتمد",'قياس الأداء للربع الثاني'!$M38,0)+IF($T39="معتمد",$M39,0))/$K39,"")</f>
        <v/>
      </c>
      <c r="X39" s="40" t="str">
        <f t="shared" si="7"/>
        <v>FIN-02FIN-02-KPI-01نسبة تحصيل المستحقات الماليةنسبةكلما زاد كان أفضلربع سنويتقريرإدارة الأداء و النمو010000020000</v>
      </c>
    </row>
    <row r="40" spans="1:24" s="12" customFormat="1">
      <c r="A40" s="23" t="s">
        <v>244</v>
      </c>
      <c r="B40" s="23" t="s">
        <v>245</v>
      </c>
      <c r="C40" s="15" t="s">
        <v>246</v>
      </c>
      <c r="D40" s="24"/>
      <c r="E40" s="25" t="s">
        <v>37</v>
      </c>
      <c r="F40" s="23" t="s">
        <v>30</v>
      </c>
      <c r="G40" s="15" t="s">
        <v>31</v>
      </c>
      <c r="H40" s="26" t="s">
        <v>423</v>
      </c>
      <c r="I40" s="9" t="s">
        <v>193</v>
      </c>
      <c r="J40" s="23">
        <v>0</v>
      </c>
      <c r="K40" s="27">
        <v>0</v>
      </c>
      <c r="L40" s="57">
        <v>0</v>
      </c>
      <c r="M40" s="28"/>
      <c r="N40" s="73" t="str">
        <f t="shared" si="4"/>
        <v/>
      </c>
      <c r="O40" s="80" t="str">
        <f t="shared" si="5"/>
        <v/>
      </c>
      <c r="P40" s="81" t="str">
        <f t="shared" si="6"/>
        <v/>
      </c>
      <c r="Q40" s="29"/>
      <c r="R40" s="29"/>
      <c r="S40" s="29"/>
      <c r="T40" s="29"/>
      <c r="U40" s="29"/>
      <c r="V40" s="82" t="str">
        <f>IF($T40&lt;&gt;"معتمد","",IFERROR((IF(AND('قياس الأداء للربع الأول'!$T39="معتمد",'قياس الأداء للربع الأول'!$L39&gt;0),'قياس الأداء للربع الأول'!$M39,0)+IF(AND('قياس الأداء للربع الثاني'!$Q39="معتمد",'قياس الأداء للربع الثاني'!$L39&gt;0),'قياس الأداء للربع الثاني'!$M39,0)+IF(AND($T40="معتمد",$L40&gt;0),$M40,0))/(IF(AND('قياس الأداء للربع الأول'!$T39="معتمد",'قياس الأداء للربع الأول'!$L39&gt;0),'قياس الأداء للربع الأول'!$L39,0)+IF(AND('قياس الأداء للربع الثاني'!$Q39="معتمد",'قياس الأداء للربع الثاني'!$L39&gt;0),'قياس الأداء للربع الثاني'!$L39,0)+IF(AND($T40="معتمد",$L40&gt;0),$L40,0)),""))</f>
        <v/>
      </c>
      <c r="W40" s="83" t="str">
        <f>IF(AND($T40="معتمد",$K40&gt;0),(IF('قياس الأداء للربع الأول'!$T39="معتمد",'قياس الأداء للربع الأول'!$M39,0)+IF('قياس الأداء للربع الثاني'!$Q39="معتمد",'قياس الأداء للربع الثاني'!$M39,0)+IF($T40="معتمد",$M40,0))/$K40,"")</f>
        <v/>
      </c>
      <c r="X40" s="40" t="str">
        <f t="shared" si="7"/>
        <v>GOV-01GOV-01-KPI-01نسبة الالتزام بزمن تقديم الاستشارات القانونيةنسبةكلما زاد كان أفضلربع سنويتقريرإدارة الأداء و النمو000</v>
      </c>
    </row>
    <row r="41" spans="1:24" ht="15.75" customHeight="1">
      <c r="A41" s="23" t="s">
        <v>248</v>
      </c>
      <c r="B41" s="23" t="s">
        <v>249</v>
      </c>
      <c r="C41" s="15" t="s">
        <v>250</v>
      </c>
      <c r="D41" s="24"/>
      <c r="E41" s="25" t="s">
        <v>37</v>
      </c>
      <c r="F41" s="23" t="s">
        <v>30</v>
      </c>
      <c r="G41" s="15" t="s">
        <v>31</v>
      </c>
      <c r="H41" s="26" t="s">
        <v>423</v>
      </c>
      <c r="I41" s="9" t="s">
        <v>193</v>
      </c>
      <c r="J41" s="23">
        <v>0</v>
      </c>
      <c r="K41" s="27">
        <v>12</v>
      </c>
      <c r="L41" s="58">
        <v>3</v>
      </c>
      <c r="M41" s="28"/>
      <c r="N41" s="73" t="str">
        <f t="shared" si="4"/>
        <v/>
      </c>
      <c r="O41" s="80" t="str">
        <f t="shared" si="5"/>
        <v/>
      </c>
      <c r="P41" s="81" t="str">
        <f t="shared" si="6"/>
        <v/>
      </c>
      <c r="Q41" s="29"/>
      <c r="R41" s="29"/>
      <c r="S41" s="29"/>
      <c r="T41" s="29"/>
      <c r="U41" s="29"/>
      <c r="V41" s="82" t="str">
        <f>IF($T41&lt;&gt;"معتمد","",IFERROR((IF(AND('قياس الأداء للربع الأول'!$T40="معتمد",'قياس الأداء للربع الأول'!$L40&gt;0),'قياس الأداء للربع الأول'!$M40,0)+IF(AND('قياس الأداء للربع الثاني'!$Q40="معتمد",'قياس الأداء للربع الثاني'!$L40&gt;0),'قياس الأداء للربع الثاني'!$M40,0)+IF(AND($T41="معتمد",$L41&gt;0),$M41,0))/(IF(AND('قياس الأداء للربع الأول'!$T40="معتمد",'قياس الأداء للربع الأول'!$L40&gt;0),'قياس الأداء للربع الأول'!$L40,0)+IF(AND('قياس الأداء للربع الثاني'!$Q40="معتمد",'قياس الأداء للربع الثاني'!$L40&gt;0),'قياس الأداء للربع الثاني'!$L40,0)+IF(AND($T41="معتمد",$L41&gt;0),$L41,0)),""))</f>
        <v/>
      </c>
      <c r="W41" s="83" t="str">
        <f>IF(AND($T41="معتمد",$K41&gt;0),(IF('قياس الأداء للربع الأول'!$T40="معتمد",'قياس الأداء للربع الأول'!$M40,0)+IF('قياس الأداء للربع الثاني'!$Q40="معتمد",'قياس الأداء للربع الثاني'!$M40,0)+IF($T41="معتمد",$M41,0))/$K41,"")</f>
        <v/>
      </c>
      <c r="X41" s="40" t="str">
        <f t="shared" si="7"/>
        <v>OPS-01OPS-01-KPI-01نسبة دقة سجلات المخزوننسبةكلما زاد كان أفضلربع سنويتقريرإدارة الأداء و النمو0123</v>
      </c>
    </row>
    <row r="42" spans="1:24" ht="15" customHeight="1">
      <c r="A42" s="23" t="s">
        <v>240</v>
      </c>
      <c r="B42" s="23" t="s">
        <v>252</v>
      </c>
      <c r="C42" s="15" t="s">
        <v>253</v>
      </c>
      <c r="D42" s="24"/>
      <c r="E42" s="25" t="s">
        <v>37</v>
      </c>
      <c r="F42" s="23" t="s">
        <v>30</v>
      </c>
      <c r="G42" s="15" t="s">
        <v>31</v>
      </c>
      <c r="H42" s="26" t="s">
        <v>423</v>
      </c>
      <c r="I42" s="9" t="s">
        <v>193</v>
      </c>
      <c r="J42" s="23">
        <v>0</v>
      </c>
      <c r="K42" s="27">
        <v>0</v>
      </c>
      <c r="L42" s="59">
        <v>0</v>
      </c>
      <c r="M42" s="28"/>
      <c r="N42" s="73" t="str">
        <f t="shared" si="4"/>
        <v/>
      </c>
      <c r="O42" s="80" t="str">
        <f t="shared" si="5"/>
        <v/>
      </c>
      <c r="P42" s="81" t="str">
        <f t="shared" si="6"/>
        <v/>
      </c>
      <c r="Q42" s="29"/>
      <c r="R42" s="29"/>
      <c r="S42" s="29"/>
      <c r="T42" s="29"/>
      <c r="U42" s="29"/>
      <c r="V42" s="82" t="str">
        <f>IF($T42&lt;&gt;"معتمد","",IFERROR((IF(AND('قياس الأداء للربع الأول'!$T41="معتمد",'قياس الأداء للربع الأول'!$L41&gt;0),'قياس الأداء للربع الأول'!$M41,0)+IF(AND('قياس الأداء للربع الثاني'!$Q41="معتمد",'قياس الأداء للربع الثاني'!$L41&gt;0),'قياس الأداء للربع الثاني'!$M41,0)+IF(AND($T42="معتمد",$L42&gt;0),$M42,0))/(IF(AND('قياس الأداء للربع الأول'!$T41="معتمد",'قياس الأداء للربع الأول'!$L41&gt;0),'قياس الأداء للربع الأول'!$L41,0)+IF(AND('قياس الأداء للربع الثاني'!$Q41="معتمد",'قياس الأداء للربع الثاني'!$L41&gt;0),'قياس الأداء للربع الثاني'!$L41,0)+IF(AND($T42="معتمد",$L42&gt;0),$L42,0)),""))</f>
        <v/>
      </c>
      <c r="W42" s="83" t="str">
        <f>IF(AND($T42="معتمد",$K42&gt;0),(IF('قياس الأداء للربع الأول'!$T41="معتمد",'قياس الأداء للربع الأول'!$M41,0)+IF('قياس الأداء للربع الثاني'!$Q41="معتمد",'قياس الأداء للربع الثاني'!$M41,0)+IF($T42="معتمد",$M42,0))/$K42,"")</f>
        <v/>
      </c>
      <c r="X42" s="40" t="str">
        <f t="shared" si="7"/>
        <v>FIN-02FIN-02-KPI-02متوسط مدة معالجة الطلبات الماليةنسبةكلما زاد كان أفضلربع سنويتقريرإدارة الأداء و النمو000</v>
      </c>
    </row>
    <row r="43" spans="1:24" ht="15" customHeight="1">
      <c r="A43" s="23" t="s">
        <v>255</v>
      </c>
      <c r="B43" s="23" t="s">
        <v>256</v>
      </c>
      <c r="C43" s="15" t="s">
        <v>257</v>
      </c>
      <c r="D43" s="24"/>
      <c r="E43" s="25" t="s">
        <v>37</v>
      </c>
      <c r="F43" s="23" t="s">
        <v>30</v>
      </c>
      <c r="G43" s="15" t="s">
        <v>31</v>
      </c>
      <c r="H43" s="26" t="s">
        <v>423</v>
      </c>
      <c r="I43" s="9" t="s">
        <v>193</v>
      </c>
      <c r="J43" s="23">
        <v>0</v>
      </c>
      <c r="K43" s="27">
        <v>0</v>
      </c>
      <c r="L43" s="60">
        <v>0</v>
      </c>
      <c r="M43" s="28"/>
      <c r="N43" s="73" t="str">
        <f t="shared" si="4"/>
        <v/>
      </c>
      <c r="O43" s="80" t="str">
        <f t="shared" si="5"/>
        <v/>
      </c>
      <c r="P43" s="81" t="str">
        <f t="shared" si="6"/>
        <v/>
      </c>
      <c r="Q43" s="29"/>
      <c r="R43" s="29"/>
      <c r="S43" s="29"/>
      <c r="T43" s="29"/>
      <c r="U43" s="29"/>
      <c r="V43" s="82" t="str">
        <f>IF($T43&lt;&gt;"معتمد","",IFERROR((IF(AND('قياس الأداء للربع الأول'!$T42="معتمد",'قياس الأداء للربع الأول'!$L42&gt;0),'قياس الأداء للربع الأول'!$M42,0)+IF(AND('قياس الأداء للربع الثاني'!$Q42="معتمد",'قياس الأداء للربع الثاني'!$L42&gt;0),'قياس الأداء للربع الثاني'!$M42,0)+IF(AND($T43="معتمد",$L43&gt;0),$M43,0))/(IF(AND('قياس الأداء للربع الأول'!$T42="معتمد",'قياس الأداء للربع الأول'!$L42&gt;0),'قياس الأداء للربع الأول'!$L42,0)+IF(AND('قياس الأداء للربع الثاني'!$Q42="معتمد",'قياس الأداء للربع الثاني'!$L42&gt;0),'قياس الأداء للربع الثاني'!$L42,0)+IF(AND($T43="معتمد",$L43&gt;0),$L43,0)),""))</f>
        <v/>
      </c>
      <c r="W43" s="83" t="str">
        <f>IF(AND($T43="معتمد",$K43&gt;0),(IF('قياس الأداء للربع الأول'!$T42="معتمد",'قياس الأداء للربع الأول'!$M42,0)+IF('قياس الأداء للربع الثاني'!$Q42="معتمد",'قياس الأداء للربع الثاني'!$M42,0)+IF($T43="معتمد",$M43,0))/$K43,"")</f>
        <v/>
      </c>
      <c r="X43" s="40" t="str">
        <f t="shared" si="7"/>
        <v>FIN-03FIN-03-KPI-01نسبة الالتزام بمعيار السلامة الماليةنسبةكلما زاد كان أفضلربع سنويتقريرإدارة الأداء و النمو000</v>
      </c>
    </row>
    <row r="44" spans="1:24" ht="15" customHeight="1">
      <c r="A44" s="23" t="s">
        <v>259</v>
      </c>
      <c r="B44" s="23" t="s">
        <v>260</v>
      </c>
      <c r="C44" s="15" t="s">
        <v>261</v>
      </c>
      <c r="D44" s="24"/>
      <c r="E44" s="25" t="s">
        <v>157</v>
      </c>
      <c r="F44" s="23" t="s">
        <v>30</v>
      </c>
      <c r="G44" s="15" t="s">
        <v>31</v>
      </c>
      <c r="H44" s="26" t="s">
        <v>423</v>
      </c>
      <c r="I44" s="9" t="s">
        <v>193</v>
      </c>
      <c r="J44" s="23">
        <v>0</v>
      </c>
      <c r="K44" s="27">
        <v>4</v>
      </c>
      <c r="L44" s="55">
        <v>1</v>
      </c>
      <c r="M44" s="28"/>
      <c r="N44" s="73" t="str">
        <f t="shared" si="4"/>
        <v/>
      </c>
      <c r="O44" s="80" t="str">
        <f t="shared" si="5"/>
        <v/>
      </c>
      <c r="P44" s="81" t="str">
        <f t="shared" si="6"/>
        <v/>
      </c>
      <c r="Q44" s="29"/>
      <c r="R44" s="29"/>
      <c r="S44" s="29"/>
      <c r="T44" s="29"/>
      <c r="U44" s="29"/>
      <c r="V44" s="82" t="str">
        <f>IF($T44&lt;&gt;"معتمد","",IFERROR((IF(AND('قياس الأداء للربع الأول'!$T43="معتمد",'قياس الأداء للربع الأول'!$L43&gt;0),'قياس الأداء للربع الأول'!$M43,0)+IF(AND('قياس الأداء للربع الثاني'!$Q43="معتمد",'قياس الأداء للربع الثاني'!$L43&gt;0),'قياس الأداء للربع الثاني'!$M43,0)+IF(AND($T44="معتمد",$L44&gt;0),$M44,0))/(IF(AND('قياس الأداء للربع الأول'!$T43="معتمد",'قياس الأداء للربع الأول'!$L43&gt;0),'قياس الأداء للربع الأول'!$L43,0)+IF(AND('قياس الأداء للربع الثاني'!$Q43="معتمد",'قياس الأداء للربع الثاني'!$L43&gt;0),'قياس الأداء للربع الثاني'!$L43,0)+IF(AND($T44="معتمد",$L44&gt;0),$L44,0)),""))</f>
        <v/>
      </c>
      <c r="W44" s="83" t="str">
        <f>IF(AND($T44="معتمد",$K44&gt;0),(IF('قياس الأداء للربع الأول'!$T43="معتمد",'قياس الأداء للربع الأول'!$M43,0)+IF('قياس الأداء للربع الثاني'!$Q43="معتمد",'قياس الأداء للربع الثاني'!$M43,0)+IF($T44="معتمد",$M44,0))/$K44,"")</f>
        <v/>
      </c>
      <c r="X44" s="40" t="str">
        <f t="shared" si="7"/>
        <v>FIN-04FIN-04-KPI-01الالتزام بإعداد وعرض التقرير المالي الربعيعددكلما زاد كان أفضلربع سنويتقريرإدارة الأداء و النمو041</v>
      </c>
    </row>
    <row r="45" spans="1:24" ht="15" customHeight="1">
      <c r="A45" s="23" t="s">
        <v>263</v>
      </c>
      <c r="B45" s="23" t="s">
        <v>264</v>
      </c>
      <c r="C45" s="15" t="s">
        <v>265</v>
      </c>
      <c r="D45" s="24"/>
      <c r="E45" s="25" t="s">
        <v>157</v>
      </c>
      <c r="F45" s="23" t="s">
        <v>30</v>
      </c>
      <c r="G45" s="15" t="s">
        <v>31</v>
      </c>
      <c r="H45" s="26" t="s">
        <v>423</v>
      </c>
      <c r="I45" s="9" t="s">
        <v>193</v>
      </c>
      <c r="J45" s="23">
        <v>0</v>
      </c>
      <c r="K45" s="27">
        <v>2</v>
      </c>
      <c r="L45" s="56">
        <v>3.5</v>
      </c>
      <c r="M45" s="28"/>
      <c r="N45" s="73" t="str">
        <f t="shared" si="4"/>
        <v/>
      </c>
      <c r="O45" s="80" t="str">
        <f t="shared" si="5"/>
        <v/>
      </c>
      <c r="P45" s="81" t="str">
        <f t="shared" si="6"/>
        <v/>
      </c>
      <c r="Q45" s="29"/>
      <c r="R45" s="29"/>
      <c r="S45" s="29"/>
      <c r="T45" s="29"/>
      <c r="U45" s="29"/>
      <c r="V45" s="82" t="str">
        <f>IF($T45&lt;&gt;"معتمد","",IFERROR((IF(AND('قياس الأداء للربع الأول'!$T44="معتمد",'قياس الأداء للربع الأول'!$L44&gt;0),'قياس الأداء للربع الأول'!$M44,0)+IF(AND('قياس الأداء للربع الثاني'!$Q44="معتمد",'قياس الأداء للربع الثاني'!$L44&gt;0),'قياس الأداء للربع الثاني'!$M44,0)+IF(AND($T45="معتمد",$L45&gt;0),$M45,0))/(IF(AND('قياس الأداء للربع الأول'!$T44="معتمد",'قياس الأداء للربع الأول'!$L44&gt;0),'قياس الأداء للربع الأول'!$L44,0)+IF(AND('قياس الأداء للربع الثاني'!$Q44="معتمد",'قياس الأداء للربع الثاني'!$L44&gt;0),'قياس الأداء للربع الثاني'!$L44,0)+IF(AND($T45="معتمد",$L45&gt;0),$L45,0)),""))</f>
        <v/>
      </c>
      <c r="W45" s="83" t="str">
        <f>IF(AND($T45="معتمد",$K45&gt;0),(IF('قياس الأداء للربع الأول'!$T44="معتمد",'قياس الأداء للربع الأول'!$M44,0)+IF('قياس الأداء للربع الثاني'!$Q44="معتمد",'قياس الأداء للربع الثاني'!$M44,0)+IF($T45="معتمد",$M45,0))/$K45,"")</f>
        <v/>
      </c>
      <c r="X45" s="40" t="str">
        <f t="shared" si="7"/>
        <v>IT-01IT-01-KPI-01متوسط زمن إغلاق الطلباتعددكلما زاد كان أفضلربع سنويتقريرإدارة الأداء و النمو023.5</v>
      </c>
    </row>
    <row r="46" spans="1:24" ht="15.75" customHeight="1">
      <c r="A46" s="84" t="s">
        <v>263</v>
      </c>
      <c r="B46" s="23" t="s">
        <v>267</v>
      </c>
      <c r="C46" s="15" t="s">
        <v>268</v>
      </c>
      <c r="D46" s="24"/>
      <c r="E46" s="25" t="s">
        <v>37</v>
      </c>
      <c r="F46" s="23" t="s">
        <v>30</v>
      </c>
      <c r="G46" s="15" t="s">
        <v>31</v>
      </c>
      <c r="H46" s="26" t="s">
        <v>423</v>
      </c>
      <c r="I46" s="9" t="s">
        <v>193</v>
      </c>
      <c r="J46" s="23">
        <v>0</v>
      </c>
      <c r="K46" s="27">
        <v>0.85</v>
      </c>
      <c r="L46" s="56">
        <v>0.7</v>
      </c>
      <c r="M46" s="28"/>
      <c r="N46" s="73" t="str">
        <f t="shared" si="4"/>
        <v/>
      </c>
      <c r="O46" s="80" t="str">
        <f t="shared" si="5"/>
        <v/>
      </c>
      <c r="P46" s="81" t="str">
        <f t="shared" si="6"/>
        <v/>
      </c>
      <c r="Q46" s="29"/>
      <c r="R46" s="29"/>
      <c r="S46" s="29"/>
      <c r="T46" s="29"/>
      <c r="U46" s="29"/>
      <c r="V46" s="82" t="str">
        <f>IF($T46&lt;&gt;"معتمد","",IFERROR((IF(AND('قياس الأداء للربع الأول'!$T45="معتمد",'قياس الأداء للربع الأول'!$L45&gt;0),'قياس الأداء للربع الأول'!$M45,0)+IF(AND('قياس الأداء للربع الثاني'!$Q45="معتمد",'قياس الأداء للربع الثاني'!$L45&gt;0),'قياس الأداء للربع الثاني'!$M45,0)+IF(AND($T46="معتمد",$L46&gt;0),$M46,0))/(IF(AND('قياس الأداء للربع الأول'!$T45="معتمد",'قياس الأداء للربع الأول'!$L45&gt;0),'قياس الأداء للربع الأول'!$L45,0)+IF(AND('قياس الأداء للربع الثاني'!$Q45="معتمد",'قياس الأداء للربع الثاني'!$L45&gt;0),'قياس الأداء للربع الثاني'!$L45,0)+IF(AND($T46="معتمد",$L46&gt;0),$L46,0)),""))</f>
        <v/>
      </c>
      <c r="W46" s="83" t="str">
        <f>IF(AND($T46="معتمد",$K46&gt;0),(IF('قياس الأداء للربع الأول'!$T45="معتمد",'قياس الأداء للربع الأول'!$M45,0)+IF('قياس الأداء للربع الثاني'!$Q45="معتمد",'قياس الأداء للربع الثاني'!$M45,0)+IF($T46="معتمد",$M46,0))/$K46,"")</f>
        <v/>
      </c>
      <c r="X46" s="40" t="str">
        <f t="shared" si="7"/>
        <v>IT-01IT-01-KPI-02نسبة الطلبات التقنية المغلقةنسبةكلما زاد كان أفضلربع سنويتقريرإدارة الأداء و النمو00.850.7</v>
      </c>
    </row>
    <row r="47" spans="1:24" ht="15" customHeight="1">
      <c r="A47" s="23" t="s">
        <v>270</v>
      </c>
      <c r="B47" s="23" t="s">
        <v>271</v>
      </c>
      <c r="C47" s="15" t="s">
        <v>272</v>
      </c>
      <c r="D47" s="24"/>
      <c r="E47" s="25" t="s">
        <v>37</v>
      </c>
      <c r="F47" s="23" t="s">
        <v>30</v>
      </c>
      <c r="G47" s="15" t="s">
        <v>31</v>
      </c>
      <c r="H47" s="26" t="s">
        <v>423</v>
      </c>
      <c r="I47" s="9" t="s">
        <v>193</v>
      </c>
      <c r="J47" s="23">
        <v>0</v>
      </c>
      <c r="K47" s="27">
        <v>0.15</v>
      </c>
      <c r="L47" s="56">
        <v>0.25</v>
      </c>
      <c r="M47" s="28"/>
      <c r="N47" s="73" t="str">
        <f t="shared" si="4"/>
        <v/>
      </c>
      <c r="O47" s="80" t="str">
        <f t="shared" si="5"/>
        <v/>
      </c>
      <c r="P47" s="81" t="str">
        <f t="shared" si="6"/>
        <v/>
      </c>
      <c r="Q47" s="29"/>
      <c r="R47" s="29"/>
      <c r="S47" s="29"/>
      <c r="T47" s="29"/>
      <c r="U47" s="29"/>
      <c r="V47" s="82" t="str">
        <f>IF($T47&lt;&gt;"معتمد","",IFERROR((IF(AND('قياس الأداء للربع الأول'!$T46="معتمد",'قياس الأداء للربع الأول'!$L46&gt;0),'قياس الأداء للربع الأول'!$M46,0)+IF(AND('قياس الأداء للربع الثاني'!$Q46="معتمد",'قياس الأداء للربع الثاني'!$L46&gt;0),'قياس الأداء للربع الثاني'!$M46,0)+IF(AND($T47="معتمد",$L47&gt;0),$M47,0))/(IF(AND('قياس الأداء للربع الأول'!$T46="معتمد",'قياس الأداء للربع الأول'!$L46&gt;0),'قياس الأداء للربع الأول'!$L46,0)+IF(AND('قياس الأداء للربع الثاني'!$Q46="معتمد",'قياس الأداء للربع الثاني'!$L46&gt;0),'قياس الأداء للربع الثاني'!$L46,0)+IF(AND($T47="معتمد",$L47&gt;0),$L47,0)),""))</f>
        <v/>
      </c>
      <c r="W47" s="83" t="str">
        <f>IF(AND($T47="معتمد",$K47&gt;0),(IF('قياس الأداء للربع الأول'!$T46="معتمد",'قياس الأداء للربع الأول'!$M46,0)+IF('قياس الأداء للربع الثاني'!$Q46="معتمد",'قياس الأداء للربع الثاني'!$M46,0)+IF($T47="معتمد",$M47,0))/$K47,"")</f>
        <v/>
      </c>
      <c r="X47" s="40" t="str">
        <f t="shared" si="7"/>
        <v>IT-02IT-02-KPI-01معدل تكرار الطلبات التقنية لنفس الطلب نسبةكلما زاد كان أفضلربع سنويتقريرإدارة الأداء و النمو00.150.25</v>
      </c>
    </row>
    <row r="48" spans="1:24" ht="15" customHeight="1">
      <c r="A48" s="23" t="s">
        <v>263</v>
      </c>
      <c r="B48" s="23" t="s">
        <v>273</v>
      </c>
      <c r="C48" s="15" t="s">
        <v>274</v>
      </c>
      <c r="D48" s="24"/>
      <c r="E48" s="25" t="s">
        <v>37</v>
      </c>
      <c r="F48" s="23" t="s">
        <v>30</v>
      </c>
      <c r="G48" s="15" t="s">
        <v>31</v>
      </c>
      <c r="H48" s="26" t="s">
        <v>423</v>
      </c>
      <c r="I48" s="9" t="s">
        <v>193</v>
      </c>
      <c r="J48" s="23">
        <v>0</v>
      </c>
      <c r="K48" s="27">
        <v>0.85</v>
      </c>
      <c r="L48" s="56">
        <v>0.7</v>
      </c>
      <c r="M48" s="28"/>
      <c r="N48" s="73" t="str">
        <f t="shared" si="4"/>
        <v/>
      </c>
      <c r="O48" s="80" t="str">
        <f t="shared" si="5"/>
        <v/>
      </c>
      <c r="P48" s="81" t="str">
        <f t="shared" si="6"/>
        <v/>
      </c>
      <c r="Q48" s="29"/>
      <c r="R48" s="29"/>
      <c r="S48" s="29"/>
      <c r="T48" s="29"/>
      <c r="U48" s="29"/>
      <c r="V48" s="82" t="str">
        <f>IF($T48&lt;&gt;"معتمد","",IFERROR((IF(AND('قياس الأداء للربع الأول'!$T47="معتمد",'قياس الأداء للربع الأول'!$L47&gt;0),'قياس الأداء للربع الأول'!$M47,0)+IF(AND('قياس الأداء للربع الثاني'!$Q47="معتمد",'قياس الأداء للربع الثاني'!$L47&gt;0),'قياس الأداء للربع الثاني'!$M47,0)+IF(AND($T48="معتمد",$L48&gt;0),$M48,0))/(IF(AND('قياس الأداء للربع الأول'!$T47="معتمد",'قياس الأداء للربع الأول'!$L47&gt;0),'قياس الأداء للربع الأول'!$L47,0)+IF(AND('قياس الأداء للربع الثاني'!$Q47="معتمد",'قياس الأداء للربع الثاني'!$L47&gt;0),'قياس الأداء للربع الثاني'!$L47,0)+IF(AND($T48="معتمد",$L48&gt;0),$L48,0)),""))</f>
        <v/>
      </c>
      <c r="W48" s="83" t="str">
        <f>IF(AND($T48="معتمد",$K48&gt;0),(IF('قياس الأداء للربع الأول'!$T47="معتمد",'قياس الأداء للربع الأول'!$M47,0)+IF('قياس الأداء للربع الثاني'!$Q47="معتمد",'قياس الأداء للربع الثاني'!$M47,0)+IF($T48="معتمد",$M48,0))/$K48,"")</f>
        <v/>
      </c>
      <c r="X48" s="40" t="str">
        <f t="shared" si="7"/>
        <v>IT-01IT-01-KPI-03مستوى رضا الموظفين عن الخدمات التقنيةنسبةكلما زاد كان أفضلربع سنويتقريرإدارة الأداء و النمو00.850.7</v>
      </c>
    </row>
    <row r="49" spans="1:24" ht="15" customHeight="1">
      <c r="A49" s="23" t="s">
        <v>263</v>
      </c>
      <c r="B49" s="23" t="s">
        <v>276</v>
      </c>
      <c r="C49" s="15" t="s">
        <v>277</v>
      </c>
      <c r="D49" s="24"/>
      <c r="E49" s="25" t="s">
        <v>37</v>
      </c>
      <c r="F49" s="23" t="s">
        <v>30</v>
      </c>
      <c r="G49" s="15" t="s">
        <v>31</v>
      </c>
      <c r="H49" s="26" t="s">
        <v>423</v>
      </c>
      <c r="I49" s="9" t="s">
        <v>193</v>
      </c>
      <c r="J49" s="23">
        <v>0</v>
      </c>
      <c r="K49" s="27">
        <v>0.85</v>
      </c>
      <c r="L49" s="56">
        <v>0.7</v>
      </c>
      <c r="M49" s="28"/>
      <c r="N49" s="73" t="str">
        <f t="shared" si="4"/>
        <v/>
      </c>
      <c r="O49" s="80" t="str">
        <f t="shared" si="5"/>
        <v/>
      </c>
      <c r="P49" s="81" t="str">
        <f t="shared" si="6"/>
        <v/>
      </c>
      <c r="Q49" s="29"/>
      <c r="R49" s="29"/>
      <c r="S49" s="29"/>
      <c r="T49" s="29"/>
      <c r="U49" s="29"/>
      <c r="V49" s="82" t="str">
        <f>IF($T49&lt;&gt;"معتمد","",IFERROR((IF(AND('قياس الأداء للربع الأول'!$T48="معتمد",'قياس الأداء للربع الأول'!$L48&gt;0),'قياس الأداء للربع الأول'!$M48,0)+IF(AND('قياس الأداء للربع الثاني'!$Q48="معتمد",'قياس الأداء للربع الثاني'!$L48&gt;0),'قياس الأداء للربع الثاني'!$M48,0)+IF(AND($T49="معتمد",$L49&gt;0),$M49,0))/(IF(AND('قياس الأداء للربع الأول'!$T48="معتمد",'قياس الأداء للربع الأول'!$L48&gt;0),'قياس الأداء للربع الأول'!$L48,0)+IF(AND('قياس الأداء للربع الثاني'!$Q48="معتمد",'قياس الأداء للربع الثاني'!$L48&gt;0),'قياس الأداء للربع الثاني'!$L48,0)+IF(AND($T49="معتمد",$L49&gt;0),$L49,0)),""))</f>
        <v/>
      </c>
      <c r="W49" s="83" t="str">
        <f>IF(AND($T49="معتمد",$K49&gt;0),(IF('قياس الأداء للربع الأول'!$T48="معتمد",'قياس الأداء للربع الأول'!$M48,0)+IF('قياس الأداء للربع الثاني'!$Q48="معتمد",'قياس الأداء للربع الثاني'!$M48,0)+IF($T49="معتمد",$M49,0))/$K49,"")</f>
        <v/>
      </c>
      <c r="X49" s="40" t="str">
        <f t="shared" si="7"/>
        <v>IT-01IT-01-KPI-04نسبة معالجة الطلبات من أول مرةنسبةكلما زاد كان أفضلربع سنويتقريرإدارة الأداء و النمو00.850.7</v>
      </c>
    </row>
    <row r="50" spans="1:24" ht="15" customHeight="1">
      <c r="A50" s="23" t="s">
        <v>263</v>
      </c>
      <c r="B50" s="23" t="s">
        <v>278</v>
      </c>
      <c r="C50" s="15" t="s">
        <v>279</v>
      </c>
      <c r="D50" s="24"/>
      <c r="E50" s="25" t="s">
        <v>157</v>
      </c>
      <c r="F50" s="23" t="s">
        <v>30</v>
      </c>
      <c r="G50" s="15" t="s">
        <v>31</v>
      </c>
      <c r="H50" s="26" t="s">
        <v>423</v>
      </c>
      <c r="I50" s="9" t="s">
        <v>193</v>
      </c>
      <c r="J50" s="23">
        <v>0</v>
      </c>
      <c r="K50" s="27">
        <v>3</v>
      </c>
      <c r="L50" s="56">
        <v>15</v>
      </c>
      <c r="M50" s="28"/>
      <c r="N50" s="73" t="str">
        <f t="shared" si="4"/>
        <v/>
      </c>
      <c r="O50" s="80" t="str">
        <f t="shared" si="5"/>
        <v/>
      </c>
      <c r="P50" s="81" t="str">
        <f t="shared" si="6"/>
        <v/>
      </c>
      <c r="Q50" s="29"/>
      <c r="R50" s="29"/>
      <c r="S50" s="29"/>
      <c r="T50" s="29"/>
      <c r="U50" s="29"/>
      <c r="V50" s="82" t="str">
        <f>IF($T50&lt;&gt;"معتمد","",IFERROR((IF(AND('قياس الأداء للربع الأول'!$T49="معتمد",'قياس الأداء للربع الأول'!$L49&gt;0),'قياس الأداء للربع الأول'!$M49,0)+IF(AND('قياس الأداء للربع الثاني'!$Q49="معتمد",'قياس الأداء للربع الثاني'!$L49&gt;0),'قياس الأداء للربع الثاني'!$M49,0)+IF(AND($T50="معتمد",$L50&gt;0),$M50,0))/(IF(AND('قياس الأداء للربع الأول'!$T49="معتمد",'قياس الأداء للربع الأول'!$L49&gt;0),'قياس الأداء للربع الأول'!$L49,0)+IF(AND('قياس الأداء للربع الثاني'!$Q49="معتمد",'قياس الأداء للربع الثاني'!$L49&gt;0),'قياس الأداء للربع الثاني'!$L49,0)+IF(AND($T50="معتمد",$L50&gt;0),$L50,0)),""))</f>
        <v/>
      </c>
      <c r="W50" s="83" t="str">
        <f>IF(AND($T50="معتمد",$K50&gt;0),(IF('قياس الأداء للربع الأول'!$T49="معتمد",'قياس الأداء للربع الأول'!$M49,0)+IF('قياس الأداء للربع الثاني'!$Q49="معتمد",'قياس الأداء للربع الثاني'!$M49,0)+IF($T50="معتمد",$M50,0))/$K50,"")</f>
        <v/>
      </c>
      <c r="X50" s="40" t="str">
        <f t="shared" si="7"/>
        <v>IT-01IT-01-KPI-05عدد الشكاوى التقنية المتكررةعددكلما زاد كان أفضلربع سنويتقريرإدارة الأداء و النمو0315</v>
      </c>
    </row>
    <row r="51" spans="1:24" ht="15" customHeight="1">
      <c r="A51" s="23" t="s">
        <v>270</v>
      </c>
      <c r="B51" s="23" t="s">
        <v>280</v>
      </c>
      <c r="C51" s="15" t="s">
        <v>281</v>
      </c>
      <c r="D51" s="24"/>
      <c r="E51" s="25" t="s">
        <v>37</v>
      </c>
      <c r="F51" s="23" t="s">
        <v>30</v>
      </c>
      <c r="G51" s="15" t="s">
        <v>31</v>
      </c>
      <c r="H51" s="26" t="s">
        <v>423</v>
      </c>
      <c r="I51" s="9" t="s">
        <v>193</v>
      </c>
      <c r="J51" s="23">
        <v>0</v>
      </c>
      <c r="K51" s="27">
        <v>0.85</v>
      </c>
      <c r="L51" s="51">
        <v>0.55000000000000004</v>
      </c>
      <c r="M51" s="28"/>
      <c r="N51" s="73" t="str">
        <f t="shared" si="4"/>
        <v/>
      </c>
      <c r="O51" s="80" t="str">
        <f t="shared" si="5"/>
        <v/>
      </c>
      <c r="P51" s="81" t="str">
        <f t="shared" si="6"/>
        <v/>
      </c>
      <c r="Q51" s="29"/>
      <c r="R51" s="29"/>
      <c r="S51" s="29"/>
      <c r="T51" s="29"/>
      <c r="U51" s="29"/>
      <c r="V51" s="82" t="str">
        <f>IF($T51&lt;&gt;"معتمد","",IFERROR((IF(AND('قياس الأداء للربع الأول'!$T50="معتمد",'قياس الأداء للربع الأول'!$L50&gt;0),'قياس الأداء للربع الأول'!$M50,0)+IF(AND('قياس الأداء للربع الثاني'!$Q50="معتمد",'قياس الأداء للربع الثاني'!$L50&gt;0),'قياس الأداء للربع الثاني'!$M50,0)+IF(AND($T51="معتمد",$L51&gt;0),$M51,0))/(IF(AND('قياس الأداء للربع الأول'!$T50="معتمد",'قياس الأداء للربع الأول'!$L50&gt;0),'قياس الأداء للربع الأول'!$L50,0)+IF(AND('قياس الأداء للربع الثاني'!$Q50="معتمد",'قياس الأداء للربع الثاني'!$L50&gt;0),'قياس الأداء للربع الثاني'!$L50,0)+IF(AND($T51="معتمد",$L51&gt;0),$L51,0)),""))</f>
        <v/>
      </c>
      <c r="W51" s="83" t="str">
        <f>IF(AND($T51="معتمد",$K51&gt;0),(IF('قياس الأداء للربع الأول'!$T50="معتمد",'قياس الأداء للربع الأول'!$M50,0)+IF('قياس الأداء للربع الثاني'!$Q50="معتمد",'قياس الأداء للربع الثاني'!$M50,0)+IF($T51="معتمد",$M51,0))/$K51,"")</f>
        <v/>
      </c>
      <c r="X51" s="40" t="str">
        <f t="shared" si="7"/>
        <v>IT-02IT-02-KPI-02نسبة الأقسام الملتزمة باستخدام الأنظمة التقنيةنسبةكلما زاد كان أفضلربع سنويتقريرإدارة الأداء و النمو00.850.55</v>
      </c>
    </row>
    <row r="52" spans="1:24" ht="15" customHeight="1">
      <c r="A52" s="23" t="s">
        <v>270</v>
      </c>
      <c r="B52" s="23" t="s">
        <v>283</v>
      </c>
      <c r="C52" s="15" t="s">
        <v>284</v>
      </c>
      <c r="D52" s="24"/>
      <c r="E52" s="25" t="s">
        <v>37</v>
      </c>
      <c r="F52" s="23" t="s">
        <v>30</v>
      </c>
      <c r="G52" s="15" t="s">
        <v>31</v>
      </c>
      <c r="H52" s="26" t="s">
        <v>423</v>
      </c>
      <c r="I52" s="9" t="s">
        <v>193</v>
      </c>
      <c r="J52" s="23">
        <v>0</v>
      </c>
      <c r="K52" s="27">
        <v>0.85</v>
      </c>
      <c r="L52" s="51">
        <v>0.55000000000000004</v>
      </c>
      <c r="M52" s="28"/>
      <c r="N52" s="73" t="str">
        <f t="shared" si="4"/>
        <v/>
      </c>
      <c r="O52" s="80" t="str">
        <f t="shared" si="5"/>
        <v/>
      </c>
      <c r="P52" s="81" t="str">
        <f t="shared" si="6"/>
        <v/>
      </c>
      <c r="Q52" s="29"/>
      <c r="R52" s="29"/>
      <c r="S52" s="29"/>
      <c r="T52" s="29"/>
      <c r="U52" s="29"/>
      <c r="V52" s="82" t="str">
        <f>IF($T52&lt;&gt;"معتمد","",IFERROR((IF(AND('قياس الأداء للربع الأول'!$T51="معتمد",'قياس الأداء للربع الأول'!$L51&gt;0),'قياس الأداء للربع الأول'!$M51,0)+IF(AND('قياس الأداء للربع الثاني'!$Q51="معتمد",'قياس الأداء للربع الثاني'!$L51&gt;0),'قياس الأداء للربع الثاني'!$M51,0)+IF(AND($T52="معتمد",$L52&gt;0),$M52,0))/(IF(AND('قياس الأداء للربع الأول'!$T51="معتمد",'قياس الأداء للربع الأول'!$L51&gt;0),'قياس الأداء للربع الأول'!$L51,0)+IF(AND('قياس الأداء للربع الثاني'!$Q51="معتمد",'قياس الأداء للربع الثاني'!$L51&gt;0),'قياس الأداء للربع الثاني'!$L51,0)+IF(AND($T52="معتمد",$L52&gt;0),$L52,0)),""))</f>
        <v/>
      </c>
      <c r="W52" s="83" t="str">
        <f>IF(AND($T52="معتمد",$K52&gt;0),(IF('قياس الأداء للربع الأول'!$T51="معتمد",'قياس الأداء للربع الأول'!$M51,0)+IF('قياس الأداء للربع الثاني'!$Q51="معتمد",'قياس الأداء للربع الثاني'!$M51,0)+IF($T52="معتمد",$M52,0))/$K52,"")</f>
        <v/>
      </c>
      <c r="X52" s="40" t="str">
        <f t="shared" si="7"/>
        <v>IT-02IT-02-KPI-03نسبة العمليات المنفذة عبر الأنظمة التقنيةنسبةكلما زاد كان أفضلربع سنويتقريرإدارة الأداء و النمو00.850.55</v>
      </c>
    </row>
    <row r="53" spans="1:24" ht="15" customHeight="1">
      <c r="A53" s="23" t="s">
        <v>270</v>
      </c>
      <c r="B53" s="23" t="s">
        <v>285</v>
      </c>
      <c r="C53" s="15" t="s">
        <v>286</v>
      </c>
      <c r="D53" s="24"/>
      <c r="E53" s="25" t="s">
        <v>37</v>
      </c>
      <c r="F53" s="23" t="s">
        <v>30</v>
      </c>
      <c r="G53" s="15" t="s">
        <v>31</v>
      </c>
      <c r="H53" s="26" t="s">
        <v>423</v>
      </c>
      <c r="I53" s="9" t="s">
        <v>193</v>
      </c>
      <c r="J53" s="23">
        <v>0</v>
      </c>
      <c r="K53" s="27">
        <v>0.9</v>
      </c>
      <c r="L53" s="51">
        <v>0.7</v>
      </c>
      <c r="M53" s="28"/>
      <c r="N53" s="73" t="str">
        <f t="shared" si="4"/>
        <v/>
      </c>
      <c r="O53" s="80" t="str">
        <f t="shared" si="5"/>
        <v/>
      </c>
      <c r="P53" s="81" t="str">
        <f t="shared" si="6"/>
        <v/>
      </c>
      <c r="Q53" s="29"/>
      <c r="R53" s="29"/>
      <c r="S53" s="29"/>
      <c r="T53" s="29"/>
      <c r="U53" s="29"/>
      <c r="V53" s="82" t="str">
        <f>IF($T53&lt;&gt;"معتمد","",IFERROR((IF(AND('قياس الأداء للربع الأول'!$T52="معتمد",'قياس الأداء للربع الأول'!$L52&gt;0),'قياس الأداء للربع الأول'!$M52,0)+IF(AND('قياس الأداء للربع الثاني'!$Q52="معتمد",'قياس الأداء للربع الثاني'!$L52&gt;0),'قياس الأداء للربع الثاني'!$M52,0)+IF(AND($T53="معتمد",$L53&gt;0),$M53,0))/(IF(AND('قياس الأداء للربع الأول'!$T52="معتمد",'قياس الأداء للربع الأول'!$L52&gt;0),'قياس الأداء للربع الأول'!$L52,0)+IF(AND('قياس الأداء للربع الثاني'!$Q52="معتمد",'قياس الأداء للربع الثاني'!$L52&gt;0),'قياس الأداء للربع الثاني'!$L52,0)+IF(AND($T53="معتمد",$L53&gt;0),$L53,0)),""))</f>
        <v/>
      </c>
      <c r="W53" s="83" t="str">
        <f>IF(AND($T53="معتمد",$K53&gt;0),(IF('قياس الأداء للربع الأول'!$T52="معتمد",'قياس الأداء للربع الأول'!$M52,0)+IF('قياس الأداء للربع الثاني'!$Q52="معتمد",'قياس الأداء للربع الثاني'!$M52,0)+IF($T53="معتمد",$M53,0))/$K53,"")</f>
        <v/>
      </c>
      <c r="X53" s="40" t="str">
        <f t="shared" si="7"/>
        <v>IT-02IT-02-KPI-04 نسبة المستخدمين النشطين للأنظمة التقنيةنسبةكلما زاد كان أفضلربع سنويتقريرإدارة الأداء و النمو00.90.7</v>
      </c>
    </row>
    <row r="54" spans="1:24" ht="15" customHeight="1">
      <c r="A54" s="23" t="s">
        <v>287</v>
      </c>
      <c r="B54" s="23" t="s">
        <v>288</v>
      </c>
      <c r="C54" s="15" t="s">
        <v>289</v>
      </c>
      <c r="D54" s="24"/>
      <c r="E54" s="25" t="s">
        <v>37</v>
      </c>
      <c r="F54" s="23" t="s">
        <v>30</v>
      </c>
      <c r="G54" s="15" t="s">
        <v>31</v>
      </c>
      <c r="H54" s="26" t="s">
        <v>423</v>
      </c>
      <c r="I54" s="9" t="s">
        <v>193</v>
      </c>
      <c r="J54" s="23">
        <v>0</v>
      </c>
      <c r="K54" s="27">
        <v>0</v>
      </c>
      <c r="L54" s="49">
        <v>0</v>
      </c>
      <c r="M54" s="28"/>
      <c r="N54" s="73" t="str">
        <f t="shared" si="4"/>
        <v/>
      </c>
      <c r="O54" s="80" t="str">
        <f t="shared" si="5"/>
        <v/>
      </c>
      <c r="P54" s="81" t="str">
        <f t="shared" si="6"/>
        <v/>
      </c>
      <c r="Q54" s="29"/>
      <c r="R54" s="29"/>
      <c r="S54" s="29"/>
      <c r="T54" s="29"/>
      <c r="U54" s="29"/>
      <c r="V54" s="82" t="str">
        <f>IF($T54&lt;&gt;"معتمد","",IFERROR((IF(AND('قياس الأداء للربع الأول'!$T53="معتمد",'قياس الأداء للربع الأول'!$L53&gt;0),'قياس الأداء للربع الأول'!$M53,0)+IF(AND('قياس الأداء للربع الثاني'!$Q53="معتمد",'قياس الأداء للربع الثاني'!$L53&gt;0),'قياس الأداء للربع الثاني'!$M53,0)+IF(AND($T54="معتمد",$L54&gt;0),$M54,0))/(IF(AND('قياس الأداء للربع الأول'!$T53="معتمد",'قياس الأداء للربع الأول'!$L53&gt;0),'قياس الأداء للربع الأول'!$L53,0)+IF(AND('قياس الأداء للربع الثاني'!$Q53="معتمد",'قياس الأداء للربع الثاني'!$L53&gt;0),'قياس الأداء للربع الثاني'!$L53,0)+IF(AND($T54="معتمد",$L54&gt;0),$L54,0)),""))</f>
        <v/>
      </c>
      <c r="W54" s="83" t="str">
        <f>IF(AND($T54="معتمد",$K54&gt;0),(IF('قياس الأداء للربع الأول'!$T53="معتمد",'قياس الأداء للربع الأول'!$M53,0)+IF('قياس الأداء للربع الثاني'!$Q53="معتمد",'قياس الأداء للربع الثاني'!$M53,0)+IF($T54="معتمد",$M54,0))/$K54,"")</f>
        <v/>
      </c>
      <c r="X54" s="40" t="str">
        <f t="shared" si="7"/>
        <v>STR-01STR-01-KPI-01مؤشر الوعي بإدارة المشاريعنسبةكلما زاد كان أفضلربع سنويتقريرإدارة الأداء و النمو000</v>
      </c>
    </row>
    <row r="55" spans="1:24" ht="15" customHeight="1">
      <c r="A55" s="23" t="s">
        <v>287</v>
      </c>
      <c r="B55" s="23" t="s">
        <v>291</v>
      </c>
      <c r="C55" s="15" t="s">
        <v>292</v>
      </c>
      <c r="D55" s="24"/>
      <c r="E55" s="25" t="s">
        <v>157</v>
      </c>
      <c r="F55" s="23" t="s">
        <v>30</v>
      </c>
      <c r="G55" s="15" t="s">
        <v>31</v>
      </c>
      <c r="H55" s="26" t="s">
        <v>423</v>
      </c>
      <c r="I55" s="9" t="s">
        <v>193</v>
      </c>
      <c r="J55" s="23">
        <v>0</v>
      </c>
      <c r="K55" s="27">
        <v>0</v>
      </c>
      <c r="L55" s="49">
        <v>0</v>
      </c>
      <c r="M55" s="28"/>
      <c r="N55" s="73" t="str">
        <f t="shared" si="4"/>
        <v/>
      </c>
      <c r="O55" s="80" t="str">
        <f t="shared" si="5"/>
        <v/>
      </c>
      <c r="P55" s="81" t="str">
        <f t="shared" si="6"/>
        <v/>
      </c>
      <c r="Q55" s="29"/>
      <c r="R55" s="29"/>
      <c r="S55" s="29"/>
      <c r="T55" s="29"/>
      <c r="U55" s="29"/>
      <c r="V55" s="82" t="str">
        <f>IF($T55&lt;&gt;"معتمد","",IFERROR((IF(AND('قياس الأداء للربع الأول'!$T54="معتمد",'قياس الأداء للربع الأول'!$L54&gt;0),'قياس الأداء للربع الأول'!$M54,0)+IF(AND('قياس الأداء للربع الثاني'!$Q54="معتمد",'قياس الأداء للربع الثاني'!$L54&gt;0),'قياس الأداء للربع الثاني'!$M54,0)+IF(AND($T55="معتمد",$L55&gt;0),$M55,0))/(IF(AND('قياس الأداء للربع الأول'!$T54="معتمد",'قياس الأداء للربع الأول'!$L54&gt;0),'قياس الأداء للربع الأول'!$L54,0)+IF(AND('قياس الأداء للربع الثاني'!$Q54="معتمد",'قياس الأداء للربع الثاني'!$L54&gt;0),'قياس الأداء للربع الثاني'!$L54,0)+IF(AND($T55="معتمد",$L55&gt;0),$L55,0)),""))</f>
        <v/>
      </c>
      <c r="W55" s="83" t="str">
        <f>IF(AND($T55="معتمد",$K55&gt;0),(IF('قياس الأداء للربع الأول'!$T54="معتمد",'قياس الأداء للربع الأول'!$M54,0)+IF('قياس الأداء للربع الثاني'!$Q54="معتمد",'قياس الأداء للربع الثاني'!$M54,0)+IF($T55="معتمد",$M55,0))/$K55,"")</f>
        <v/>
      </c>
      <c r="X55" s="40" t="str">
        <f t="shared" si="7"/>
        <v>STR-01STR-01-KPI-02مؤشر تحقيق جودة مخرجات المشاريععددكلما زاد كان أفضلربع سنويتقريرإدارة الأداء و النمو000</v>
      </c>
    </row>
    <row r="56" spans="1:24" ht="15" customHeight="1">
      <c r="A56" s="23" t="s">
        <v>287</v>
      </c>
      <c r="B56" s="23" t="s">
        <v>294</v>
      </c>
      <c r="C56" s="15" t="s">
        <v>295</v>
      </c>
      <c r="D56" s="24"/>
      <c r="E56" s="25" t="s">
        <v>157</v>
      </c>
      <c r="F56" s="23" t="s">
        <v>30</v>
      </c>
      <c r="G56" s="15" t="s">
        <v>31</v>
      </c>
      <c r="H56" s="26" t="s">
        <v>423</v>
      </c>
      <c r="I56" s="9" t="s">
        <v>193</v>
      </c>
      <c r="J56" s="23">
        <v>0</v>
      </c>
      <c r="K56" s="27">
        <v>0</v>
      </c>
      <c r="L56" s="49">
        <v>0</v>
      </c>
      <c r="M56" s="28"/>
      <c r="N56" s="73" t="str">
        <f t="shared" si="4"/>
        <v/>
      </c>
      <c r="O56" s="80" t="str">
        <f t="shared" si="5"/>
        <v/>
      </c>
      <c r="P56" s="81" t="str">
        <f t="shared" si="6"/>
        <v/>
      </c>
      <c r="Q56" s="29"/>
      <c r="R56" s="29"/>
      <c r="S56" s="29"/>
      <c r="T56" s="29"/>
      <c r="U56" s="29"/>
      <c r="V56" s="82" t="str">
        <f>IF($T56&lt;&gt;"معتمد","",IFERROR((IF(AND('قياس الأداء للربع الأول'!$T55="معتمد",'قياس الأداء للربع الأول'!$L55&gt;0),'قياس الأداء للربع الأول'!$M55,0)+IF(AND('قياس الأداء للربع الثاني'!$Q55="معتمد",'قياس الأداء للربع الثاني'!$L55&gt;0),'قياس الأداء للربع الثاني'!$M55,0)+IF(AND($T56="معتمد",$L56&gt;0),$M56,0))/(IF(AND('قياس الأداء للربع الأول'!$T55="معتمد",'قياس الأداء للربع الأول'!$L55&gt;0),'قياس الأداء للربع الأول'!$L55,0)+IF(AND('قياس الأداء للربع الثاني'!$Q55="معتمد",'قياس الأداء للربع الثاني'!$L55&gt;0),'قياس الأداء للربع الثاني'!$L55,0)+IF(AND($T56="معتمد",$L56&gt;0),$L56,0)),""))</f>
        <v/>
      </c>
      <c r="W56" s="83" t="str">
        <f>IF(AND($T56="معتمد",$K56&gt;0),(IF('قياس الأداء للربع الأول'!$T55="معتمد",'قياس الأداء للربع الأول'!$M55,0)+IF('قياس الأداء للربع الثاني'!$Q55="معتمد",'قياس الأداء للربع الثاني'!$M55,0)+IF($T56="معتمد",$M56,0))/$K56,"")</f>
        <v/>
      </c>
      <c r="X56" s="40" t="str">
        <f t="shared" si="7"/>
        <v>STR-01STR-01-KPI-03مؤشر فعالية تطبيق دليل مكتب إدارة المشاريععددكلما زاد كان أفضلربع سنويتقريرإدارة الأداء و النمو000</v>
      </c>
    </row>
    <row r="57" spans="1:24" ht="15" customHeight="1">
      <c r="A57" s="23" t="s">
        <v>287</v>
      </c>
      <c r="B57" s="23" t="s">
        <v>296</v>
      </c>
      <c r="C57" s="15" t="s">
        <v>297</v>
      </c>
      <c r="D57" s="24"/>
      <c r="E57" s="25" t="s">
        <v>157</v>
      </c>
      <c r="F57" s="23" t="s">
        <v>30</v>
      </c>
      <c r="G57" s="15" t="s">
        <v>31</v>
      </c>
      <c r="H57" s="26" t="s">
        <v>423</v>
      </c>
      <c r="I57" s="9" t="s">
        <v>193</v>
      </c>
      <c r="J57" s="23">
        <v>0</v>
      </c>
      <c r="K57" s="27">
        <v>0</v>
      </c>
      <c r="L57" s="57">
        <v>0</v>
      </c>
      <c r="M57" s="28"/>
      <c r="N57" s="73" t="str">
        <f t="shared" si="4"/>
        <v/>
      </c>
      <c r="O57" s="80" t="str">
        <f t="shared" si="5"/>
        <v/>
      </c>
      <c r="P57" s="81" t="str">
        <f t="shared" si="6"/>
        <v/>
      </c>
      <c r="Q57" s="29"/>
      <c r="R57" s="29"/>
      <c r="S57" s="29"/>
      <c r="T57" s="29"/>
      <c r="U57" s="29"/>
      <c r="V57" s="82" t="str">
        <f>IF($T57&lt;&gt;"معتمد","",IFERROR((IF(AND('قياس الأداء للربع الأول'!$T56="معتمد",'قياس الأداء للربع الأول'!$L56&gt;0),'قياس الأداء للربع الأول'!$M56,0)+IF(AND('قياس الأداء للربع الثاني'!$Q56="معتمد",'قياس الأداء للربع الثاني'!$L56&gt;0),'قياس الأداء للربع الثاني'!$M56,0)+IF(AND($T57="معتمد",$L57&gt;0),$M57,0))/(IF(AND('قياس الأداء للربع الأول'!$T56="معتمد",'قياس الأداء للربع الأول'!$L56&gt;0),'قياس الأداء للربع الأول'!$L56,0)+IF(AND('قياس الأداء للربع الثاني'!$Q56="معتمد",'قياس الأداء للربع الثاني'!$L56&gt;0),'قياس الأداء للربع الثاني'!$L56,0)+IF(AND($T57="معتمد",$L57&gt;0),$L57,0)),""))</f>
        <v/>
      </c>
      <c r="W57" s="83" t="str">
        <f>IF(AND($T57="معتمد",$K57&gt;0),(IF('قياس الأداء للربع الأول'!$T56="معتمد",'قياس الأداء للربع الأول'!$M56,0)+IF('قياس الأداء للربع الثاني'!$Q56="معتمد",'قياس الأداء للربع الثاني'!$M56,0)+IF($T57="معتمد",$M57,0))/$K57,"")</f>
        <v/>
      </c>
      <c r="X57" s="40" t="str">
        <f t="shared" si="7"/>
        <v>STR-01STR-01-KPI-04نسبة المشاريع التي تم تنفيذها ضمن المدة المحددة دون تعثرعددكلما زاد كان أفضلربع سنويتقريرإدارة الأداء و النمو000</v>
      </c>
    </row>
    <row r="58" spans="1:24" ht="15" customHeight="1">
      <c r="A58" s="23" t="s">
        <v>298</v>
      </c>
      <c r="B58" s="23" t="s">
        <v>299</v>
      </c>
      <c r="C58" s="15" t="s">
        <v>300</v>
      </c>
      <c r="D58" s="24"/>
      <c r="E58" s="25" t="s">
        <v>37</v>
      </c>
      <c r="F58" s="23" t="s">
        <v>30</v>
      </c>
      <c r="G58" s="15" t="s">
        <v>31</v>
      </c>
      <c r="H58" s="26" t="s">
        <v>423</v>
      </c>
      <c r="I58" s="9" t="s">
        <v>193</v>
      </c>
      <c r="J58" s="23">
        <v>0</v>
      </c>
      <c r="K58" s="27">
        <v>1</v>
      </c>
      <c r="L58" s="56">
        <v>1</v>
      </c>
      <c r="M58" s="28"/>
      <c r="N58" s="73" t="str">
        <f t="shared" si="4"/>
        <v/>
      </c>
      <c r="O58" s="80" t="str">
        <f t="shared" si="5"/>
        <v/>
      </c>
      <c r="P58" s="81" t="str">
        <f t="shared" si="6"/>
        <v/>
      </c>
      <c r="Q58" s="29"/>
      <c r="R58" s="29"/>
      <c r="S58" s="29"/>
      <c r="T58" s="29"/>
      <c r="U58" s="29"/>
      <c r="V58" s="82" t="str">
        <f>IF($T58&lt;&gt;"معتمد","",IFERROR((IF(AND('قياس الأداء للربع الأول'!$T57="معتمد",'قياس الأداء للربع الأول'!$L57&gt;0),'قياس الأداء للربع الأول'!$M57,0)+IF(AND('قياس الأداء للربع الثاني'!$Q57="معتمد",'قياس الأداء للربع الثاني'!$L57&gt;0),'قياس الأداء للربع الثاني'!$M57,0)+IF(AND($T58="معتمد",$L58&gt;0),$M58,0))/(IF(AND('قياس الأداء للربع الأول'!$T57="معتمد",'قياس الأداء للربع الأول'!$L57&gt;0),'قياس الأداء للربع الأول'!$L57,0)+IF(AND('قياس الأداء للربع الثاني'!$Q57="معتمد",'قياس الأداء للربع الثاني'!$L57&gt;0),'قياس الأداء للربع الثاني'!$L57,0)+IF(AND($T58="معتمد",$L58&gt;0),$L58,0)),""))</f>
        <v/>
      </c>
      <c r="W58" s="83" t="str">
        <f>IF(AND($T58="معتمد",$K58&gt;0),(IF('قياس الأداء للربع الأول'!$T57="معتمد",'قياس الأداء للربع الأول'!$M57,0)+IF('قياس الأداء للربع الثاني'!$Q57="معتمد",'قياس الأداء للربع الثاني'!$M57,0)+IF($T58="معتمد",$M58,0))/$K58,"")</f>
        <v/>
      </c>
      <c r="X58" s="40" t="str">
        <f t="shared" si="7"/>
        <v>STR-02STR-02-KPI-01نسبة مواءمة الخطط التشغيلية مع الأهداف الاستراتيجية للجمعيةنسبةكلما زاد كان أفضلربع سنويتقريرإدارة الأداء و النمو011</v>
      </c>
    </row>
    <row r="59" spans="1:24" ht="15" customHeight="1">
      <c r="A59" s="23" t="s">
        <v>298</v>
      </c>
      <c r="B59" s="23" t="s">
        <v>424</v>
      </c>
      <c r="C59" s="15" t="s">
        <v>425</v>
      </c>
      <c r="D59" s="24"/>
      <c r="E59" s="25" t="s">
        <v>37</v>
      </c>
      <c r="F59" s="23" t="s">
        <v>30</v>
      </c>
      <c r="G59" s="15" t="s">
        <v>31</v>
      </c>
      <c r="H59" s="26" t="s">
        <v>423</v>
      </c>
      <c r="I59" s="9" t="s">
        <v>193</v>
      </c>
      <c r="J59" s="23">
        <v>0</v>
      </c>
      <c r="K59" s="27">
        <v>0.4</v>
      </c>
      <c r="L59" s="56">
        <v>0.25</v>
      </c>
      <c r="M59" s="28"/>
      <c r="N59" s="73" t="str">
        <f t="shared" si="4"/>
        <v/>
      </c>
      <c r="O59" s="80" t="str">
        <f t="shared" si="5"/>
        <v/>
      </c>
      <c r="P59" s="81" t="str">
        <f t="shared" si="6"/>
        <v/>
      </c>
      <c r="Q59" s="29"/>
      <c r="R59" s="29"/>
      <c r="S59" s="29"/>
      <c r="T59" s="29"/>
      <c r="U59" s="29"/>
      <c r="V59" s="82" t="str">
        <f>IF($T59&lt;&gt;"معتمد","",IFERROR((IF(AND('قياس الأداء للربع الأول'!#REF!="معتمد",'قياس الأداء للربع الأول'!#REF!&gt;0),'قياس الأداء للربع الأول'!#REF!,0)+IF(AND('قياس الأداء للربع الثاني'!$Q58="معتمد",'قياس الأداء للربع الثاني'!$L58&gt;0),'قياس الأداء للربع الثاني'!$M58,0)+IF(AND($T59="معتمد",$L59&gt;0),$M59,0))/(IF(AND('قياس الأداء للربع الأول'!#REF!="معتمد",'قياس الأداء للربع الأول'!#REF!&gt;0),'قياس الأداء للربع الأول'!#REF!,0)+IF(AND('قياس الأداء للربع الثاني'!$Q58="معتمد",'قياس الأداء للربع الثاني'!$L58&gt;0),'قياس الأداء للربع الثاني'!$L58,0)+IF(AND($T59="معتمد",$L59&gt;0),$L59,0)),""))</f>
        <v/>
      </c>
      <c r="W59" s="83" t="str">
        <f>IF(AND($T59="معتمد",$K59&gt;0),(IF('قياس الأداء للربع الأول'!#REF!="معتمد",'قياس الأداء للربع الأول'!#REF!,0)+IF('قياس الأداء للربع الثاني'!$Q58="معتمد",'قياس الأداء للربع الثاني'!$M58,0)+IF($T59="معتمد",$M59,0))/$K59,"")</f>
        <v/>
      </c>
      <c r="X59" s="40" t="str">
        <f t="shared" si="7"/>
        <v>STR-02STR-02-KPI-02نسبة المبادرات التشغيلية ذات الأثر الإستراتيجي المباشرنسبةكلما زاد كان أفضلربع سنويتقريرإدارة الأداء و النمو00.40.25</v>
      </c>
    </row>
    <row r="60" spans="1:24" ht="15" customHeight="1">
      <c r="A60" s="23" t="s">
        <v>302</v>
      </c>
      <c r="B60" s="23" t="s">
        <v>303</v>
      </c>
      <c r="C60" s="15" t="s">
        <v>304</v>
      </c>
      <c r="D60" s="24"/>
      <c r="E60" s="25" t="s">
        <v>37</v>
      </c>
      <c r="F60" s="23" t="s">
        <v>30</v>
      </c>
      <c r="G60" s="15" t="s">
        <v>31</v>
      </c>
      <c r="H60" s="26" t="s">
        <v>423</v>
      </c>
      <c r="I60" s="9" t="s">
        <v>193</v>
      </c>
      <c r="J60" s="23">
        <v>0</v>
      </c>
      <c r="K60" s="27">
        <v>0.7</v>
      </c>
      <c r="L60" s="56">
        <v>0.55000000000000004</v>
      </c>
      <c r="M60" s="28"/>
      <c r="N60" s="73" t="str">
        <f t="shared" si="4"/>
        <v/>
      </c>
      <c r="O60" s="80" t="str">
        <f t="shared" si="5"/>
        <v/>
      </c>
      <c r="P60" s="81" t="str">
        <f t="shared" si="6"/>
        <v/>
      </c>
      <c r="Q60" s="29"/>
      <c r="R60" s="29"/>
      <c r="S60" s="29"/>
      <c r="T60" s="29"/>
      <c r="U60" s="29"/>
      <c r="V60" s="82" t="str">
        <f>IF($T60&lt;&gt;"معتمد","",IFERROR((IF(AND('قياس الأداء للربع الأول'!$T58="معتمد",'قياس الأداء للربع الأول'!$L58&gt;0),'قياس الأداء للربع الأول'!$M58,0)+IF(AND('قياس الأداء للربع الثاني'!$Q59="معتمد",'قياس الأداء للربع الثاني'!$L59&gt;0),'قياس الأداء للربع الثاني'!$M59,0)+IF(AND($T60="معتمد",$L60&gt;0),$M60,0))/(IF(AND('قياس الأداء للربع الأول'!$T58="معتمد",'قياس الأداء للربع الأول'!$L58&gt;0),'قياس الأداء للربع الأول'!$L58,0)+IF(AND('قياس الأداء للربع الثاني'!$Q59="معتمد",'قياس الأداء للربع الثاني'!$L59&gt;0),'قياس الأداء للربع الثاني'!$L59,0)+IF(AND($T60="معتمد",$L60&gt;0),$L60,0)),""))</f>
        <v/>
      </c>
      <c r="W60" s="83" t="str">
        <f>IF(AND($T60="معتمد",$K60&gt;0),(IF('قياس الأداء للربع الأول'!$T58="معتمد",'قياس الأداء للربع الأول'!$M58,0)+IF('قياس الأداء للربع الثاني'!$Q59="معتمد",'قياس الأداء للربع الثاني'!$M59,0)+IF($T60="معتمد",$M60,0))/$K60,"")</f>
        <v/>
      </c>
      <c r="X60" s="40" t="str">
        <f t="shared" si="7"/>
        <v>STR-03STR-03-KPI-01نسبة التقدم في تحقيق مؤشرات الأداء المعتمدة و التشغيليةنسبةكلما زاد كان أفضلربع سنويتقريرإدارة الأداء و النمو00.70.55</v>
      </c>
    </row>
    <row r="61" spans="1:24" ht="15" customHeight="1">
      <c r="A61" s="23" t="s">
        <v>302</v>
      </c>
      <c r="B61" s="23" t="s">
        <v>306</v>
      </c>
      <c r="C61" s="15" t="s">
        <v>307</v>
      </c>
      <c r="D61" s="24"/>
      <c r="E61" s="25" t="s">
        <v>37</v>
      </c>
      <c r="F61" s="23" t="s">
        <v>30</v>
      </c>
      <c r="G61" s="15" t="s">
        <v>31</v>
      </c>
      <c r="H61" s="26" t="s">
        <v>423</v>
      </c>
      <c r="I61" s="9" t="s">
        <v>193</v>
      </c>
      <c r="J61" s="23">
        <v>0</v>
      </c>
      <c r="K61" s="27">
        <v>1</v>
      </c>
      <c r="L61" s="56">
        <v>0.8</v>
      </c>
      <c r="M61" s="28"/>
      <c r="N61" s="73" t="str">
        <f t="shared" si="4"/>
        <v/>
      </c>
      <c r="O61" s="80" t="str">
        <f t="shared" si="5"/>
        <v/>
      </c>
      <c r="P61" s="81" t="str">
        <f t="shared" si="6"/>
        <v/>
      </c>
      <c r="Q61" s="29"/>
      <c r="R61" s="29"/>
      <c r="S61" s="29"/>
      <c r="T61" s="29"/>
      <c r="U61" s="29"/>
      <c r="V61" s="82" t="str">
        <f>IF($T61&lt;&gt;"معتمد","",IFERROR((IF(AND('قياس الأداء للربع الأول'!$T59="معتمد",'قياس الأداء للربع الأول'!$L59&gt;0),'قياس الأداء للربع الأول'!$M59,0)+IF(AND('قياس الأداء للربع الثاني'!$Q60="معتمد",'قياس الأداء للربع الثاني'!$L60&gt;0),'قياس الأداء للربع الثاني'!$M60,0)+IF(AND($T61="معتمد",$L61&gt;0),$M61,0))/(IF(AND('قياس الأداء للربع الأول'!$T59="معتمد",'قياس الأداء للربع الأول'!$L59&gt;0),'قياس الأداء للربع الأول'!$L59,0)+IF(AND('قياس الأداء للربع الثاني'!$Q60="معتمد",'قياس الأداء للربع الثاني'!$L60&gt;0),'قياس الأداء للربع الثاني'!$L60,0)+IF(AND($T61="معتمد",$L61&gt;0),$L61,0)),""))</f>
        <v/>
      </c>
      <c r="W61" s="83" t="str">
        <f>IF(AND($T61="معتمد",$K61&gt;0),(IF('قياس الأداء للربع الأول'!$T59="معتمد",'قياس الأداء للربع الأول'!$M59,0)+IF('قياس الأداء للربع الثاني'!$Q60="معتمد",'قياس الأداء للربع الثاني'!$M60,0)+IF($T61="معتمد",$M61,0))/$K61,"")</f>
        <v/>
      </c>
      <c r="X61" s="40" t="str">
        <f t="shared" si="7"/>
        <v>STR-03STR-03-KPI-02دقة التقارير الدورية مقارنة بالبيانات الفعليةنسبةكلما زاد كان أفضلربع سنويتقريرإدارة الأداء و النمو010.8</v>
      </c>
    </row>
    <row r="62" spans="1:24" ht="15" customHeight="1">
      <c r="A62" s="23" t="s">
        <v>302</v>
      </c>
      <c r="B62" s="23" t="s">
        <v>309</v>
      </c>
      <c r="C62" s="15" t="s">
        <v>310</v>
      </c>
      <c r="D62" s="24"/>
      <c r="E62" s="25" t="s">
        <v>37</v>
      </c>
      <c r="F62" s="23" t="s">
        <v>30</v>
      </c>
      <c r="G62" s="15" t="s">
        <v>31</v>
      </c>
      <c r="H62" s="26" t="s">
        <v>423</v>
      </c>
      <c r="I62" s="9" t="s">
        <v>193</v>
      </c>
      <c r="J62" s="23">
        <v>0</v>
      </c>
      <c r="K62" s="27">
        <v>0.6</v>
      </c>
      <c r="L62" s="56">
        <v>0.3</v>
      </c>
      <c r="M62" s="28"/>
      <c r="N62" s="73" t="str">
        <f t="shared" si="4"/>
        <v/>
      </c>
      <c r="O62" s="80" t="str">
        <f t="shared" si="5"/>
        <v/>
      </c>
      <c r="P62" s="81" t="str">
        <f t="shared" si="6"/>
        <v/>
      </c>
      <c r="Q62" s="29"/>
      <c r="R62" s="29"/>
      <c r="S62" s="29"/>
      <c r="T62" s="29"/>
      <c r="U62" s="29"/>
      <c r="V62" s="82" t="str">
        <f>IF($T62&lt;&gt;"معتمد","",IFERROR((IF(AND('قياس الأداء للربع الأول'!$T60="معتمد",'قياس الأداء للربع الأول'!$L60&gt;0),'قياس الأداء للربع الأول'!$M60,0)+IF(AND('قياس الأداء للربع الثاني'!$Q61="معتمد",'قياس الأداء للربع الثاني'!$L61&gt;0),'قياس الأداء للربع الثاني'!$M61,0)+IF(AND($T62="معتمد",$L62&gt;0),$M62,0))/(IF(AND('قياس الأداء للربع الأول'!$T60="معتمد",'قياس الأداء للربع الأول'!$L60&gt;0),'قياس الأداء للربع الأول'!$L60,0)+IF(AND('قياس الأداء للربع الثاني'!$Q61="معتمد",'قياس الأداء للربع الثاني'!$L61&gt;0),'قياس الأداء للربع الثاني'!$L61,0)+IF(AND($T62="معتمد",$L62&gt;0),$L62,0)),""))</f>
        <v/>
      </c>
      <c r="W62" s="83" t="str">
        <f>IF(AND($T62="معتمد",$K62&gt;0),(IF('قياس الأداء للربع الأول'!$T60="معتمد",'قياس الأداء للربع الأول'!$M60,0)+IF('قياس الأداء للربع الثاني'!$Q61="معتمد",'قياس الأداء للربع الثاني'!$M61,0)+IF($T62="معتمد",$M62,0))/$K62,"")</f>
        <v/>
      </c>
      <c r="X62" s="40" t="str">
        <f t="shared" si="7"/>
        <v>STR-03STR-03-KPI-03نسبة القرارات التنفيذية المبنية على تحليل بيانات الأداءنسبةكلما زاد كان أفضلربع سنويتقريرإدارة الأداء و النمو00.60.3</v>
      </c>
    </row>
    <row r="63" spans="1:24" ht="15" customHeight="1">
      <c r="A63" s="23" t="s">
        <v>312</v>
      </c>
      <c r="B63" s="23" t="s">
        <v>313</v>
      </c>
      <c r="C63" s="15" t="s">
        <v>314</v>
      </c>
      <c r="D63" s="24"/>
      <c r="E63" s="25" t="s">
        <v>37</v>
      </c>
      <c r="F63" s="23" t="s">
        <v>30</v>
      </c>
      <c r="G63" s="15" t="s">
        <v>31</v>
      </c>
      <c r="H63" s="26" t="s">
        <v>423</v>
      </c>
      <c r="I63" s="9" t="s">
        <v>193</v>
      </c>
      <c r="J63" s="23">
        <v>0</v>
      </c>
      <c r="K63" s="27">
        <v>0.98</v>
      </c>
      <c r="L63" s="55">
        <v>0.98</v>
      </c>
      <c r="M63" s="28"/>
      <c r="N63" s="73" t="str">
        <f t="shared" si="4"/>
        <v/>
      </c>
      <c r="O63" s="80" t="str">
        <f t="shared" si="5"/>
        <v/>
      </c>
      <c r="P63" s="81" t="str">
        <f t="shared" si="6"/>
        <v/>
      </c>
      <c r="Q63" s="29"/>
      <c r="R63" s="29"/>
      <c r="S63" s="29"/>
      <c r="T63" s="29"/>
      <c r="U63" s="29"/>
      <c r="V63" s="82" t="str">
        <f>IF($T63&lt;&gt;"معتمد","",IFERROR((IF(AND('قياس الأداء للربع الأول'!$T61="معتمد",'قياس الأداء للربع الأول'!$L61&gt;0),'قياس الأداء للربع الأول'!$M61,0)+IF(AND('قياس الأداء للربع الثاني'!$Q62="معتمد",'قياس الأداء للربع الثاني'!$L62&gt;0),'قياس الأداء للربع الثاني'!$M62,0)+IF(AND($T63="معتمد",$L63&gt;0),$M63,0))/(IF(AND('قياس الأداء للربع الأول'!$T61="معتمد",'قياس الأداء للربع الأول'!$L61&gt;0),'قياس الأداء للربع الأول'!$L61,0)+IF(AND('قياس الأداء للربع الثاني'!$Q62="معتمد",'قياس الأداء للربع الثاني'!$L62&gt;0),'قياس الأداء للربع الثاني'!$L62,0)+IF(AND($T63="معتمد",$L63&gt;0),$L63,0)),""))</f>
        <v/>
      </c>
      <c r="W63" s="83" t="str">
        <f>IF(AND($T63="معتمد",$K63&gt;0),(IF('قياس الأداء للربع الأول'!$T61="معتمد",'قياس الأداء للربع الأول'!$M61,0)+IF('قياس الأداء للربع الثاني'!$Q62="معتمد",'قياس الأداء للربع الثاني'!$M62,0)+IF($T63="معتمد",$M63,0))/$K63,"")</f>
        <v/>
      </c>
      <c r="X63" s="40" t="str">
        <f t="shared" si="7"/>
        <v>GOV-02GOV-02-KPI-01إلتزام الجمعية بتطبيق معايير الحوكمةنسبةكلما زاد كان أفضلربع سنويتقريرإدارة الأداء و النمو00.980.98</v>
      </c>
    </row>
    <row r="64" spans="1:24" ht="15" customHeight="1">
      <c r="A64" s="23" t="s">
        <v>316</v>
      </c>
      <c r="B64" s="23" t="s">
        <v>317</v>
      </c>
      <c r="C64" s="15" t="s">
        <v>318</v>
      </c>
      <c r="D64" s="24"/>
      <c r="E64" s="25" t="s">
        <v>157</v>
      </c>
      <c r="F64" s="23" t="s">
        <v>30</v>
      </c>
      <c r="G64" s="15" t="s">
        <v>31</v>
      </c>
      <c r="H64" s="26" t="s">
        <v>423</v>
      </c>
      <c r="I64" s="9" t="s">
        <v>193</v>
      </c>
      <c r="J64" s="23">
        <v>0</v>
      </c>
      <c r="K64" s="27">
        <v>70</v>
      </c>
      <c r="L64" s="56">
        <v>10</v>
      </c>
      <c r="M64" s="28"/>
      <c r="N64" s="73" t="str">
        <f t="shared" si="4"/>
        <v/>
      </c>
      <c r="O64" s="80" t="str">
        <f t="shared" si="5"/>
        <v/>
      </c>
      <c r="P64" s="81" t="str">
        <f t="shared" si="6"/>
        <v/>
      </c>
      <c r="Q64" s="29"/>
      <c r="R64" s="29"/>
      <c r="S64" s="29"/>
      <c r="T64" s="29"/>
      <c r="U64" s="29"/>
      <c r="V64" s="82" t="str">
        <f>IF($T64&lt;&gt;"معتمد","",IFERROR((IF(AND('قياس الأداء للربع الأول'!$T62="معتمد",'قياس الأداء للربع الأول'!$L62&gt;0),'قياس الأداء للربع الأول'!$M62,0)+IF(AND('قياس الأداء للربع الثاني'!$Q63="معتمد",'قياس الأداء للربع الثاني'!$L63&gt;0),'قياس الأداء للربع الثاني'!$M63,0)+IF(AND($T64="معتمد",$L64&gt;0),$M64,0))/(IF(AND('قياس الأداء للربع الأول'!$T62="معتمد",'قياس الأداء للربع الأول'!$L62&gt;0),'قياس الأداء للربع الأول'!$L62,0)+IF(AND('قياس الأداء للربع الثاني'!$Q63="معتمد",'قياس الأداء للربع الثاني'!$L63&gt;0),'قياس الأداء للربع الثاني'!$L63,0)+IF(AND($T64="معتمد",$L64&gt;0),$L64,0)),""))</f>
        <v/>
      </c>
      <c r="W64" s="83" t="str">
        <f>IF(AND($T64="معتمد",$K64&gt;0),(IF('قياس الأداء للربع الأول'!$T62="معتمد",'قياس الأداء للربع الأول'!$M62,0)+IF('قياس الأداء للربع الثاني'!$Q63="معتمد",'قياس الأداء للربع الثاني'!$M63,0)+IF($T64="معتمد",$M64,0))/$K64,"")</f>
        <v/>
      </c>
      <c r="X64" s="40" t="str">
        <f t="shared" si="7"/>
        <v>HR-01HR-01-KPI-01مؤشر عدد المتدربين يكون اكثر ب 30 بالمئة من عدد مشاريع التدريبعددكلما زاد كان أفضلربع سنويتقريرإدارة الأداء و النمو07010</v>
      </c>
    </row>
    <row r="65" spans="1:24" ht="15" customHeight="1">
      <c r="A65" s="23" t="s">
        <v>323</v>
      </c>
      <c r="B65" s="23" t="s">
        <v>324</v>
      </c>
      <c r="C65" s="15" t="s">
        <v>325</v>
      </c>
      <c r="D65" s="24"/>
      <c r="E65" s="25" t="s">
        <v>37</v>
      </c>
      <c r="F65" s="23" t="s">
        <v>30</v>
      </c>
      <c r="G65" s="15" t="s">
        <v>31</v>
      </c>
      <c r="H65" s="26" t="s">
        <v>423</v>
      </c>
      <c r="I65" s="9" t="s">
        <v>193</v>
      </c>
      <c r="J65" s="23">
        <v>0</v>
      </c>
      <c r="K65" s="27">
        <v>0.7</v>
      </c>
      <c r="L65" s="56">
        <v>0.5</v>
      </c>
      <c r="M65" s="28"/>
      <c r="N65" s="73" t="str">
        <f t="shared" si="4"/>
        <v/>
      </c>
      <c r="O65" s="80" t="str">
        <f t="shared" si="5"/>
        <v/>
      </c>
      <c r="P65" s="81" t="str">
        <f t="shared" si="6"/>
        <v/>
      </c>
      <c r="Q65" s="29"/>
      <c r="R65" s="29"/>
      <c r="S65" s="29"/>
      <c r="T65" s="29"/>
      <c r="U65" s="29"/>
      <c r="V65" s="82" t="str">
        <f>IF($T65&lt;&gt;"معتمد","",IFERROR((IF(AND('قياس الأداء للربع الأول'!$T63="معتمد",'قياس الأداء للربع الأول'!$L63&gt;0),'قياس الأداء للربع الأول'!$M63,0)+IF(AND('قياس الأداء للربع الثاني'!$Q64="معتمد",'قياس الأداء للربع الثاني'!$L64&gt;0),'قياس الأداء للربع الثاني'!$M64,0)+IF(AND($T65="معتمد",$L65&gt;0),$M65,0))/(IF(AND('قياس الأداء للربع الأول'!$T63="معتمد",'قياس الأداء للربع الأول'!$L63&gt;0),'قياس الأداء للربع الأول'!$L63,0)+IF(AND('قياس الأداء للربع الثاني'!$Q64="معتمد",'قياس الأداء للربع الثاني'!$L64&gt;0),'قياس الأداء للربع الثاني'!$L64,0)+IF(AND($T65="معتمد",$L65&gt;0),$L65,0)),""))</f>
        <v/>
      </c>
      <c r="W65" s="83" t="str">
        <f>IF(AND($T65="معتمد",$K65&gt;0),(IF('قياس الأداء للربع الأول'!$T63="معتمد",'قياس الأداء للربع الأول'!$M63,0)+IF('قياس الأداء للربع الثاني'!$Q64="معتمد",'قياس الأداء للربع الثاني'!$M64,0)+IF($T65="معتمد",$M65,0))/$K65,"")</f>
        <v/>
      </c>
      <c r="X65" s="40" t="str">
        <f t="shared" si="7"/>
        <v>HR-02HR-02-KPI-01نسبة تطبيق خطط التطوير الفردية نسبةكلما زاد كان أفضلربع سنويتقريرإدارة الأداء و النمو00.70.5</v>
      </c>
    </row>
    <row r="66" spans="1:24" ht="15" customHeight="1">
      <c r="A66" s="23" t="s">
        <v>330</v>
      </c>
      <c r="B66" s="23" t="s">
        <v>331</v>
      </c>
      <c r="C66" s="15" t="s">
        <v>332</v>
      </c>
      <c r="D66" s="24"/>
      <c r="E66" s="25" t="s">
        <v>37</v>
      </c>
      <c r="F66" s="23" t="s">
        <v>30</v>
      </c>
      <c r="G66" s="15" t="s">
        <v>31</v>
      </c>
      <c r="H66" s="26" t="s">
        <v>423</v>
      </c>
      <c r="I66" s="9" t="s">
        <v>193</v>
      </c>
      <c r="J66" s="23">
        <v>0</v>
      </c>
      <c r="K66" s="27">
        <v>0.9</v>
      </c>
      <c r="L66" s="56">
        <v>0.7</v>
      </c>
      <c r="M66" s="28"/>
      <c r="N66" s="73" t="str">
        <f t="shared" si="4"/>
        <v/>
      </c>
      <c r="O66" s="80" t="str">
        <f t="shared" si="5"/>
        <v/>
      </c>
      <c r="P66" s="81" t="str">
        <f t="shared" si="6"/>
        <v/>
      </c>
      <c r="Q66" s="29"/>
      <c r="R66" s="29"/>
      <c r="S66" s="29"/>
      <c r="T66" s="29"/>
      <c r="U66" s="29"/>
      <c r="V66" s="82" t="str">
        <f>IF($T66&lt;&gt;"معتمد","",IFERROR((IF(AND('قياس الأداء للربع الأول'!$T64="معتمد",'قياس الأداء للربع الأول'!$L64&gt;0),'قياس الأداء للربع الأول'!$M64,0)+IF(AND('قياس الأداء للربع الثاني'!$Q65="معتمد",'قياس الأداء للربع الثاني'!$L65&gt;0),'قياس الأداء للربع الثاني'!$M65,0)+IF(AND($T66="معتمد",$L66&gt;0),$M66,0))/(IF(AND('قياس الأداء للربع الأول'!$T64="معتمد",'قياس الأداء للربع الأول'!$L64&gt;0),'قياس الأداء للربع الأول'!$L64,0)+IF(AND('قياس الأداء للربع الثاني'!$Q65="معتمد",'قياس الأداء للربع الثاني'!$L65&gt;0),'قياس الأداء للربع الثاني'!$L65,0)+IF(AND($T66="معتمد",$L66&gt;0),$L66,0)),""))</f>
        <v/>
      </c>
      <c r="W66" s="83" t="str">
        <f>IF(AND($T66="معتمد",$K66&gt;0),(IF('قياس الأداء للربع الأول'!$T64="معتمد",'قياس الأداء للربع الأول'!$M64,0)+IF('قياس الأداء للربع الثاني'!$Q65="معتمد",'قياس الأداء للربع الثاني'!$M65,0)+IF($T66="معتمد",$M66,0))/$K66,"")</f>
        <v/>
      </c>
      <c r="X66" s="40" t="str">
        <f t="shared" si="7"/>
        <v>HR-03HR-03-KPI-01نسبة التزام الموظفين بساعات العمل (الحضور والانصراف)نسبةكلما زاد كان أفضلربع سنويتقريرإدارة الأداء و النمو00.90.7</v>
      </c>
    </row>
    <row r="67" spans="1:24" ht="15" customHeight="1">
      <c r="A67" s="23" t="s">
        <v>330</v>
      </c>
      <c r="B67" s="23" t="s">
        <v>334</v>
      </c>
      <c r="C67" s="15" t="s">
        <v>335</v>
      </c>
      <c r="D67" s="24"/>
      <c r="E67" s="25" t="s">
        <v>37</v>
      </c>
      <c r="F67" s="23" t="s">
        <v>30</v>
      </c>
      <c r="G67" s="15" t="s">
        <v>31</v>
      </c>
      <c r="H67" s="26" t="s">
        <v>423</v>
      </c>
      <c r="I67" s="9" t="s">
        <v>193</v>
      </c>
      <c r="J67" s="23">
        <v>0</v>
      </c>
      <c r="K67" s="27">
        <v>1</v>
      </c>
      <c r="L67" s="55">
        <v>1</v>
      </c>
      <c r="M67" s="28"/>
      <c r="N67" s="73" t="str">
        <f t="shared" ref="N67:N80" si="8">IF(AND($T67="معتمد",$L67&gt;0),$M67/$L67,"")</f>
        <v/>
      </c>
      <c r="O67" s="80" t="str">
        <f t="shared" ref="O67:O80" si="9">IF($T67="معتمد",$M67-$L67,"")</f>
        <v/>
      </c>
      <c r="P67" s="81" t="str">
        <f t="shared" ref="P67:P80" si="10">IF(AND($T67="معتمد",$L67&gt;0),($M67-$L67)/$L67,"")</f>
        <v/>
      </c>
      <c r="Q67" s="29"/>
      <c r="R67" s="29"/>
      <c r="S67" s="29"/>
      <c r="T67" s="29"/>
      <c r="U67" s="29"/>
      <c r="V67" s="82" t="str">
        <f>IF($T67&lt;&gt;"معتمد","",IFERROR((IF(AND('قياس الأداء للربع الأول'!$T65="معتمد",'قياس الأداء للربع الأول'!$L65&gt;0),'قياس الأداء للربع الأول'!$M65,0)+IF(AND('قياس الأداء للربع الثاني'!$Q66="معتمد",'قياس الأداء للربع الثاني'!$L66&gt;0),'قياس الأداء للربع الثاني'!$M66,0)+IF(AND($T67="معتمد",$L67&gt;0),$M67,0))/(IF(AND('قياس الأداء للربع الأول'!$T65="معتمد",'قياس الأداء للربع الأول'!$L65&gt;0),'قياس الأداء للربع الأول'!$L65,0)+IF(AND('قياس الأداء للربع الثاني'!$Q66="معتمد",'قياس الأداء للربع الثاني'!$L66&gt;0),'قياس الأداء للربع الثاني'!$L66,0)+IF(AND($T67="معتمد",$L67&gt;0),$L67,0)),""))</f>
        <v/>
      </c>
      <c r="W67" s="83" t="str">
        <f>IF(AND($T67="معتمد",$K67&gt;0),(IF('قياس الأداء للربع الأول'!$T65="معتمد",'قياس الأداء للربع الأول'!$M65,0)+IF('قياس الأداء للربع الثاني'!$Q66="معتمد",'قياس الأداء للربع الثاني'!$M66,0)+IF($T67="معتمد",$M67,0))/$K67,"")</f>
        <v/>
      </c>
      <c r="X67" s="40" t="str">
        <f t="shared" ref="X67:X80" si="11">A67&amp;B67&amp;C67&amp;D67&amp;E67&amp;F67&amp;G67&amp;H67&amp;I67&amp;J67&amp;K67&amp;L67&amp;M67&amp;N67&amp;O67&amp;P67&amp;Q67&amp;R67&amp;S67&amp;T67&amp;U67&amp;V67&amp;W67</f>
        <v>HR-03HR-03-KPI-02نسبة الموظفين الذين تم تقييمهم وفق نظام الأداء المعتمدنسبةكلما زاد كان أفضلربع سنويتقريرإدارة الأداء و النمو011</v>
      </c>
    </row>
    <row r="68" spans="1:24" ht="15" customHeight="1">
      <c r="A68" s="23" t="s">
        <v>337</v>
      </c>
      <c r="B68" s="23" t="s">
        <v>338</v>
      </c>
      <c r="C68" s="30" t="s">
        <v>339</v>
      </c>
      <c r="D68" s="24"/>
      <c r="E68" s="25" t="s">
        <v>37</v>
      </c>
      <c r="F68" s="23" t="s">
        <v>30</v>
      </c>
      <c r="G68" s="15" t="s">
        <v>31</v>
      </c>
      <c r="H68" s="26" t="s">
        <v>423</v>
      </c>
      <c r="I68" s="9" t="s">
        <v>193</v>
      </c>
      <c r="J68" s="23">
        <v>0</v>
      </c>
      <c r="K68" s="27">
        <v>0.97</v>
      </c>
      <c r="L68" s="56">
        <v>0.85</v>
      </c>
      <c r="M68" s="28"/>
      <c r="N68" s="73" t="str">
        <f t="shared" si="8"/>
        <v/>
      </c>
      <c r="O68" s="80" t="str">
        <f t="shared" si="9"/>
        <v/>
      </c>
      <c r="P68" s="81" t="str">
        <f t="shared" si="10"/>
        <v/>
      </c>
      <c r="Q68" s="29"/>
      <c r="R68" s="29"/>
      <c r="S68" s="29"/>
      <c r="T68" s="29"/>
      <c r="U68" s="29"/>
      <c r="V68" s="82" t="str">
        <f>IF($T68&lt;&gt;"معتمد","",IFERROR((IF(AND('قياس الأداء للربع الأول'!$T66="معتمد",'قياس الأداء للربع الأول'!$L66&gt;0),'قياس الأداء للربع الأول'!$M66,0)+IF(AND('قياس الأداء للربع الثاني'!$Q67="معتمد",'قياس الأداء للربع الثاني'!$L67&gt;0),'قياس الأداء للربع الثاني'!$M67,0)+IF(AND($T68="معتمد",$L68&gt;0),$M68,0))/(IF(AND('قياس الأداء للربع الأول'!$T66="معتمد",'قياس الأداء للربع الأول'!$L66&gt;0),'قياس الأداء للربع الأول'!$L66,0)+IF(AND('قياس الأداء للربع الثاني'!$Q67="معتمد",'قياس الأداء للربع الثاني'!$L67&gt;0),'قياس الأداء للربع الثاني'!$L67,0)+IF(AND($T68="معتمد",$L68&gt;0),$L68,0)),""))</f>
        <v/>
      </c>
      <c r="W68" s="83" t="str">
        <f>IF(AND($T68="معتمد",$K68&gt;0),(IF('قياس الأداء للربع الأول'!$T66="معتمد",'قياس الأداء للربع الأول'!$M66,0)+IF('قياس الأداء للربع الثاني'!$Q67="معتمد",'قياس الأداء للربع الثاني'!$M67,0)+IF($T68="معتمد",$M68,0))/$K68,"")</f>
        <v/>
      </c>
      <c r="X68" s="40" t="str">
        <f t="shared" si="11"/>
        <v>OPS-02OPS-02-KPI-01نسبة الالتزام بتنفيذ طلبات الفعاليات الداخلية في الوقت المعتمدنسبةكلما زاد كان أفضلربع سنويتقريرإدارة الأداء و النمو00.970.85</v>
      </c>
    </row>
    <row r="69" spans="1:24" ht="15" customHeight="1">
      <c r="A69" s="23" t="s">
        <v>341</v>
      </c>
      <c r="B69" s="23" t="s">
        <v>342</v>
      </c>
      <c r="C69" s="30" t="s">
        <v>343</v>
      </c>
      <c r="D69" s="24"/>
      <c r="E69" s="25" t="s">
        <v>37</v>
      </c>
      <c r="F69" s="23" t="s">
        <v>30</v>
      </c>
      <c r="G69" s="15" t="s">
        <v>31</v>
      </c>
      <c r="H69" s="26" t="s">
        <v>423</v>
      </c>
      <c r="I69" s="9" t="s">
        <v>193</v>
      </c>
      <c r="J69" s="23">
        <v>0</v>
      </c>
      <c r="K69" s="27">
        <v>0</v>
      </c>
      <c r="L69" s="61">
        <v>0</v>
      </c>
      <c r="M69" s="28"/>
      <c r="N69" s="73" t="str">
        <f t="shared" si="8"/>
        <v/>
      </c>
      <c r="O69" s="80" t="str">
        <f t="shared" si="9"/>
        <v/>
      </c>
      <c r="P69" s="81" t="str">
        <f t="shared" si="10"/>
        <v/>
      </c>
      <c r="Q69" s="29"/>
      <c r="R69" s="29"/>
      <c r="S69" s="29"/>
      <c r="T69" s="29"/>
      <c r="U69" s="29"/>
      <c r="V69" s="82" t="str">
        <f>IF($T69&lt;&gt;"معتمد","",IFERROR((IF(AND('قياس الأداء للربع الأول'!$T67="معتمد",'قياس الأداء للربع الأول'!$L67&gt;0),'قياس الأداء للربع الأول'!$M67,0)+IF(AND('قياس الأداء للربع الثاني'!$Q68="معتمد",'قياس الأداء للربع الثاني'!$L68&gt;0),'قياس الأداء للربع الثاني'!$M68,0)+IF(AND($T69="معتمد",$L69&gt;0),$M69,0))/(IF(AND('قياس الأداء للربع الأول'!$T67="معتمد",'قياس الأداء للربع الأول'!$L67&gt;0),'قياس الأداء للربع الأول'!$L67,0)+IF(AND('قياس الأداء للربع الثاني'!$Q68="معتمد",'قياس الأداء للربع الثاني'!$L68&gt;0),'قياس الأداء للربع الثاني'!$L68,0)+IF(AND($T69="معتمد",$L69&gt;0),$L69,0)),""))</f>
        <v/>
      </c>
      <c r="W69" s="83" t="str">
        <f>IF(AND($T69="معتمد",$K69&gt;0),(IF('قياس الأداء للربع الأول'!$T67="معتمد",'قياس الأداء للربع الأول'!$M67,0)+IF('قياس الأداء للربع الثاني'!$Q68="معتمد",'قياس الأداء للربع الثاني'!$M68,0)+IF($T69="معتمد",$M69,0))/$K69,"")</f>
        <v/>
      </c>
      <c r="X69" s="40" t="str">
        <f t="shared" si="11"/>
        <v>PRG-01PRG-01-KPI-01مستوى رضا المشاركين عن اللقاءات والفعالياتنسبةكلما زاد كان أفضلربع سنويتقريرإدارة الأداء و النمو000</v>
      </c>
    </row>
    <row r="70" spans="1:24" ht="15" customHeight="1">
      <c r="A70" s="23" t="s">
        <v>346</v>
      </c>
      <c r="B70" s="23" t="s">
        <v>347</v>
      </c>
      <c r="C70" s="30" t="s">
        <v>348</v>
      </c>
      <c r="D70" s="24"/>
      <c r="E70" s="25" t="s">
        <v>37</v>
      </c>
      <c r="F70" s="23" t="s">
        <v>30</v>
      </c>
      <c r="G70" s="15" t="s">
        <v>31</v>
      </c>
      <c r="H70" s="26" t="s">
        <v>423</v>
      </c>
      <c r="I70" s="9" t="s">
        <v>193</v>
      </c>
      <c r="J70" s="23">
        <v>0</v>
      </c>
      <c r="K70" s="27">
        <v>0</v>
      </c>
      <c r="L70" s="61">
        <v>0</v>
      </c>
      <c r="M70" s="28"/>
      <c r="N70" s="73" t="str">
        <f t="shared" si="8"/>
        <v/>
      </c>
      <c r="O70" s="80" t="str">
        <f t="shared" si="9"/>
        <v/>
      </c>
      <c r="P70" s="81" t="str">
        <f t="shared" si="10"/>
        <v/>
      </c>
      <c r="Q70" s="29"/>
      <c r="R70" s="29"/>
      <c r="S70" s="29"/>
      <c r="T70" s="29"/>
      <c r="U70" s="29"/>
      <c r="V70" s="82" t="str">
        <f>IF($T70&lt;&gt;"معتمد","",IFERROR((IF(AND('قياس الأداء للربع الأول'!$T68="معتمد",'قياس الأداء للربع الأول'!$L68&gt;0),'قياس الأداء للربع الأول'!$M68,0)+IF(AND('قياس الأداء للربع الثاني'!$Q69="معتمد",'قياس الأداء للربع الثاني'!$L69&gt;0),'قياس الأداء للربع الثاني'!$M69,0)+IF(AND($T70="معتمد",$L70&gt;0),$M70,0))/(IF(AND('قياس الأداء للربع الأول'!$T68="معتمد",'قياس الأداء للربع الأول'!$L68&gt;0),'قياس الأداء للربع الأول'!$L68,0)+IF(AND('قياس الأداء للربع الثاني'!$Q69="معتمد",'قياس الأداء للربع الثاني'!$L69&gt;0),'قياس الأداء للربع الثاني'!$L69,0)+IF(AND($T70="معتمد",$L70&gt;0),$L70,0)),""))</f>
        <v/>
      </c>
      <c r="W70" s="83" t="str">
        <f>IF(AND($T70="معتمد",$K70&gt;0),(IF('قياس الأداء للربع الأول'!$T68="معتمد",'قياس الأداء للربع الأول'!$M68,0)+IF('قياس الأداء للربع الثاني'!$Q69="معتمد",'قياس الأداء للربع الثاني'!$M69,0)+IF($T70="معتمد",$M70,0))/$K70,"")</f>
        <v/>
      </c>
      <c r="X70" s="40" t="str">
        <f t="shared" si="11"/>
        <v>PRG-02PRG-02-KPI-01نسبة مشاركة سفراء الزاد في الأنشطة المعتمدةنسبةكلما زاد كان أفضلربع سنويتقريرإدارة الأداء و النمو000</v>
      </c>
    </row>
    <row r="71" spans="1:24" ht="15" customHeight="1">
      <c r="A71" s="23" t="s">
        <v>350</v>
      </c>
      <c r="B71" s="23" t="s">
        <v>351</v>
      </c>
      <c r="C71" s="30" t="s">
        <v>352</v>
      </c>
      <c r="D71" s="24"/>
      <c r="E71" s="25" t="s">
        <v>37</v>
      </c>
      <c r="F71" s="23" t="s">
        <v>30</v>
      </c>
      <c r="G71" s="15" t="s">
        <v>31</v>
      </c>
      <c r="H71" s="26" t="s">
        <v>423</v>
      </c>
      <c r="I71" s="9" t="s">
        <v>193</v>
      </c>
      <c r="J71" s="23">
        <v>0</v>
      </c>
      <c r="K71" s="27">
        <v>0.95</v>
      </c>
      <c r="L71" s="56">
        <v>0.9</v>
      </c>
      <c r="M71" s="28"/>
      <c r="N71" s="73" t="str">
        <f t="shared" si="8"/>
        <v/>
      </c>
      <c r="O71" s="80" t="str">
        <f t="shared" si="9"/>
        <v/>
      </c>
      <c r="P71" s="81" t="str">
        <f t="shared" si="10"/>
        <v/>
      </c>
      <c r="Q71" s="29"/>
      <c r="R71" s="29"/>
      <c r="S71" s="29"/>
      <c r="T71" s="29"/>
      <c r="U71" s="29"/>
      <c r="V71" s="82" t="str">
        <f>IF($T71&lt;&gt;"معتمد","",IFERROR((IF(AND('قياس الأداء للربع الأول'!$T69="معتمد",'قياس الأداء للربع الأول'!$L69&gt;0),'قياس الأداء للربع الأول'!$M69,0)+IF(AND('قياس الأداء للربع الثاني'!$Q70="معتمد",'قياس الأداء للربع الثاني'!$L70&gt;0),'قياس الأداء للربع الثاني'!$M70,0)+IF(AND($T71="معتمد",$L71&gt;0),$M71,0))/(IF(AND('قياس الأداء للربع الأول'!$T69="معتمد",'قياس الأداء للربع الأول'!$L69&gt;0),'قياس الأداء للربع الأول'!$L69,0)+IF(AND('قياس الأداء للربع الثاني'!$Q70="معتمد",'قياس الأداء للربع الثاني'!$L70&gt;0),'قياس الأداء للربع الثاني'!$L70,0)+IF(AND($T71="معتمد",$L71&gt;0),$L71,0)),""))</f>
        <v/>
      </c>
      <c r="W71" s="83" t="str">
        <f>IF(AND($T71="معتمد",$K71&gt;0),(IF('قياس الأداء للربع الأول'!$T69="معتمد",'قياس الأداء للربع الأول'!$M69,0)+IF('قياس الأداء للربع الثاني'!$Q70="معتمد",'قياس الأداء للربع الثاني'!$M70,0)+IF($T71="معتمد",$M71,0))/$K71,"")</f>
        <v/>
      </c>
      <c r="X71" s="40" t="str">
        <f t="shared" si="11"/>
        <v>COM-01COM-01-KPI-01نسبة إنجاز المحتوى وفق خطة النشرنسبةكلما زاد كان أفضلربع سنويتقريرإدارة الأداء و النمو00.950.9</v>
      </c>
    </row>
    <row r="72" spans="1:24" ht="15" customHeight="1">
      <c r="A72" s="23" t="s">
        <v>358</v>
      </c>
      <c r="B72" s="23" t="s">
        <v>359</v>
      </c>
      <c r="C72" s="30" t="s">
        <v>360</v>
      </c>
      <c r="D72" s="24"/>
      <c r="E72" s="25" t="s">
        <v>37</v>
      </c>
      <c r="F72" s="23" t="s">
        <v>30</v>
      </c>
      <c r="G72" s="15" t="s">
        <v>31</v>
      </c>
      <c r="H72" s="26" t="s">
        <v>423</v>
      </c>
      <c r="I72" s="9" t="s">
        <v>193</v>
      </c>
      <c r="J72" s="23">
        <v>0</v>
      </c>
      <c r="K72" s="27">
        <v>0.95</v>
      </c>
      <c r="L72" s="56">
        <v>0.9</v>
      </c>
      <c r="M72" s="28"/>
      <c r="N72" s="73" t="str">
        <f t="shared" si="8"/>
        <v/>
      </c>
      <c r="O72" s="80" t="str">
        <f t="shared" si="9"/>
        <v/>
      </c>
      <c r="P72" s="81" t="str">
        <f t="shared" si="10"/>
        <v/>
      </c>
      <c r="Q72" s="29"/>
      <c r="R72" s="29"/>
      <c r="S72" s="29"/>
      <c r="T72" s="29"/>
      <c r="U72" s="29"/>
      <c r="V72" s="82" t="str">
        <f>IF($T72&lt;&gt;"معتمد","",IFERROR((IF(AND('قياس الأداء للربع الأول'!$T70="معتمد",'قياس الأداء للربع الأول'!$L70&gt;0),'قياس الأداء للربع الأول'!$M70,0)+IF(AND('قياس الأداء للربع الثاني'!$Q71="معتمد",'قياس الأداء للربع الثاني'!$L71&gt;0),'قياس الأداء للربع الثاني'!$M71,0)+IF(AND($T72="معتمد",$L72&gt;0),$M72,0))/(IF(AND('قياس الأداء للربع الأول'!$T70="معتمد",'قياس الأداء للربع الأول'!$L70&gt;0),'قياس الأداء للربع الأول'!$L70,0)+IF(AND('قياس الأداء للربع الثاني'!$Q71="معتمد",'قياس الأداء للربع الثاني'!$L71&gt;0),'قياس الأداء للربع الثاني'!$L71,0)+IF(AND($T72="معتمد",$L72&gt;0),$L72,0)),""))</f>
        <v/>
      </c>
      <c r="W72" s="83" t="str">
        <f>IF(AND($T72="معتمد",$K72&gt;0),(IF('قياس الأداء للربع الأول'!$T70="معتمد",'قياس الأداء للربع الأول'!$M70,0)+IF('قياس الأداء للربع الثاني'!$Q71="معتمد",'قياس الأداء للربع الثاني'!$M71,0)+IF($T72="معتمد",$M72,0))/$K72,"")</f>
        <v/>
      </c>
      <c r="X72" s="40" t="str">
        <f t="shared" si="11"/>
        <v>COM-02COM-02-KPI-01نسبة الالتزام بزمن تنفيذ الطلبات الإعلاميةنسبةكلما زاد كان أفضلربع سنويتقريرإدارة الأداء و النمو00.950.9</v>
      </c>
    </row>
    <row r="73" spans="1:24" ht="15.75" customHeight="1">
      <c r="A73" s="23" t="s">
        <v>365</v>
      </c>
      <c r="B73" s="23" t="s">
        <v>366</v>
      </c>
      <c r="C73" s="30" t="s">
        <v>367</v>
      </c>
      <c r="D73" s="24"/>
      <c r="E73" s="25" t="s">
        <v>157</v>
      </c>
      <c r="F73" s="23" t="s">
        <v>30</v>
      </c>
      <c r="G73" s="15" t="s">
        <v>31</v>
      </c>
      <c r="H73" s="26" t="s">
        <v>423</v>
      </c>
      <c r="I73" s="9" t="s">
        <v>193</v>
      </c>
      <c r="J73" s="23">
        <v>0</v>
      </c>
      <c r="K73" s="27">
        <v>0</v>
      </c>
      <c r="L73" s="62">
        <v>0</v>
      </c>
      <c r="M73" s="28"/>
      <c r="N73" s="73" t="str">
        <f t="shared" si="8"/>
        <v/>
      </c>
      <c r="O73" s="80" t="str">
        <f t="shared" si="9"/>
        <v/>
      </c>
      <c r="P73" s="81" t="str">
        <f t="shared" si="10"/>
        <v/>
      </c>
      <c r="Q73" s="29"/>
      <c r="R73" s="29"/>
      <c r="S73" s="29"/>
      <c r="T73" s="29"/>
      <c r="U73" s="29"/>
      <c r="V73" s="82" t="str">
        <f>IF($T73&lt;&gt;"معتمد","",IFERROR((IF(AND('قياس الأداء للربع الأول'!$T71="معتمد",'قياس الأداء للربع الأول'!$L71&gt;0),'قياس الأداء للربع الأول'!$M71,0)+IF(AND('قياس الأداء للربع الثاني'!$Q72="معتمد",'قياس الأداء للربع الثاني'!$L72&gt;0),'قياس الأداء للربع الثاني'!$M72,0)+IF(AND($T73="معتمد",$L73&gt;0),$M73,0))/(IF(AND('قياس الأداء للربع الأول'!$T71="معتمد",'قياس الأداء للربع الأول'!$L71&gt;0),'قياس الأداء للربع الأول'!$L71,0)+IF(AND('قياس الأداء للربع الثاني'!$Q72="معتمد",'قياس الأداء للربع الثاني'!$L72&gt;0),'قياس الأداء للربع الثاني'!$L72,0)+IF(AND($T73="معتمد",$L73&gt;0),$L73,0)),""))</f>
        <v/>
      </c>
      <c r="W73" s="83" t="str">
        <f>IF(AND($T73="معتمد",$K73&gt;0),(IF('قياس الأداء للربع الأول'!$T71="معتمد",'قياس الأداء للربع الأول'!$M71,0)+IF('قياس الأداء للربع الثاني'!$Q72="معتمد",'قياس الأداء للربع الثاني'!$M72,0)+IF($T73="معتمد",$M73,0))/$K73,"")</f>
        <v/>
      </c>
      <c r="X73" s="40" t="str">
        <f t="shared" si="11"/>
        <v>PRT-01PRT-01-KPI-01عدد الشراكات الجديدة الفاعلةعددكلما زاد كان أفضلربع سنويتقريرإدارة الأداء و النمو000</v>
      </c>
    </row>
    <row r="74" spans="1:24" ht="15.75" customHeight="1">
      <c r="A74" s="23" t="s">
        <v>365</v>
      </c>
      <c r="B74" s="23" t="s">
        <v>369</v>
      </c>
      <c r="C74" s="30" t="s">
        <v>370</v>
      </c>
      <c r="D74" s="24"/>
      <c r="E74" s="25" t="s">
        <v>157</v>
      </c>
      <c r="F74" s="23" t="s">
        <v>30</v>
      </c>
      <c r="G74" s="15" t="s">
        <v>31</v>
      </c>
      <c r="H74" s="26" t="s">
        <v>423</v>
      </c>
      <c r="I74" s="9" t="s">
        <v>193</v>
      </c>
      <c r="J74" s="23">
        <v>0</v>
      </c>
      <c r="K74" s="27">
        <v>0</v>
      </c>
      <c r="L74" s="58">
        <v>0</v>
      </c>
      <c r="M74" s="28"/>
      <c r="N74" s="73" t="str">
        <f t="shared" si="8"/>
        <v/>
      </c>
      <c r="O74" s="80" t="str">
        <f t="shared" si="9"/>
        <v/>
      </c>
      <c r="P74" s="81" t="str">
        <f t="shared" si="10"/>
        <v/>
      </c>
      <c r="Q74" s="29"/>
      <c r="R74" s="29"/>
      <c r="S74" s="29"/>
      <c r="T74" s="29"/>
      <c r="U74" s="29"/>
      <c r="V74" s="82" t="str">
        <f>IF($T74&lt;&gt;"معتمد","",IFERROR((IF(AND('قياس الأداء للربع الأول'!$T72="معتمد",'قياس الأداء للربع الأول'!$L72&gt;0),'قياس الأداء للربع الأول'!$M72,0)+IF(AND('قياس الأداء للربع الثاني'!$Q73="معتمد",'قياس الأداء للربع الثاني'!$L73&gt;0),'قياس الأداء للربع الثاني'!$M73,0)+IF(AND($T74="معتمد",$L74&gt;0),$M74,0))/(IF(AND('قياس الأداء للربع الأول'!$T72="معتمد",'قياس الأداء للربع الأول'!$L72&gt;0),'قياس الأداء للربع الأول'!$L72,0)+IF(AND('قياس الأداء للربع الثاني'!$Q73="معتمد",'قياس الأداء للربع الثاني'!$L73&gt;0),'قياس الأداء للربع الثاني'!$L73,0)+IF(AND($T74="معتمد",$L74&gt;0),$L74,0)),""))</f>
        <v/>
      </c>
      <c r="W74" s="83" t="str">
        <f>IF(AND($T74="معتمد",$K74&gt;0),(IF('قياس الأداء للربع الأول'!$T72="معتمد",'قياس الأداء للربع الأول'!$M72,0)+IF('قياس الأداء للربع الثاني'!$Q73="معتمد",'قياس الأداء للربع الثاني'!$M73,0)+IF($T74="معتمد",$M74,0))/$K74,"")</f>
        <v/>
      </c>
      <c r="X74" s="40" t="str">
        <f t="shared" si="11"/>
        <v>PRT-01PRT-01-KPI-02نسبة تفعيل الشراكات السابقةعددكلما زاد كان أفضلربع سنويتقريرإدارة الأداء و النمو000</v>
      </c>
    </row>
    <row r="75" spans="1:24" ht="15.75" customHeight="1">
      <c r="A75" s="23" t="s">
        <v>365</v>
      </c>
      <c r="B75" s="23" t="s">
        <v>372</v>
      </c>
      <c r="C75" s="30" t="s">
        <v>373</v>
      </c>
      <c r="D75" s="24"/>
      <c r="E75" s="25" t="s">
        <v>157</v>
      </c>
      <c r="F75" s="23" t="s">
        <v>30</v>
      </c>
      <c r="G75" s="15" t="s">
        <v>31</v>
      </c>
      <c r="H75" s="26" t="s">
        <v>423</v>
      </c>
      <c r="I75" s="9" t="s">
        <v>193</v>
      </c>
      <c r="J75" s="23">
        <v>0</v>
      </c>
      <c r="K75" s="27">
        <v>0</v>
      </c>
      <c r="L75" s="63">
        <v>0</v>
      </c>
      <c r="M75" s="28"/>
      <c r="N75" s="73" t="str">
        <f t="shared" si="8"/>
        <v/>
      </c>
      <c r="O75" s="80" t="str">
        <f t="shared" si="9"/>
        <v/>
      </c>
      <c r="P75" s="81" t="str">
        <f t="shared" si="10"/>
        <v/>
      </c>
      <c r="Q75" s="29"/>
      <c r="R75" s="29"/>
      <c r="S75" s="29"/>
      <c r="T75" s="29"/>
      <c r="U75" s="29"/>
      <c r="V75" s="82" t="str">
        <f>IF($T75&lt;&gt;"معتمد","",IFERROR((IF(AND('قياس الأداء للربع الأول'!$T73="معتمد",'قياس الأداء للربع الأول'!$L73&gt;0),'قياس الأداء للربع الأول'!$M73,0)+IF(AND('قياس الأداء للربع الثاني'!$Q74="معتمد",'قياس الأداء للربع الثاني'!$L74&gt;0),'قياس الأداء للربع الثاني'!$M74,0)+IF(AND($T75="معتمد",$L75&gt;0),$M75,0))/(IF(AND('قياس الأداء للربع الأول'!$T73="معتمد",'قياس الأداء للربع الأول'!$L73&gt;0),'قياس الأداء للربع الأول'!$L73,0)+IF(AND('قياس الأداء للربع الثاني'!$Q74="معتمد",'قياس الأداء للربع الثاني'!$L74&gt;0),'قياس الأداء للربع الثاني'!$L74,0)+IF(AND($T75="معتمد",$L75&gt;0),$L75,0)),""))</f>
        <v/>
      </c>
      <c r="W75" s="83" t="str">
        <f>IF(AND($T75="معتمد",$K75&gt;0),(IF('قياس الأداء للربع الأول'!$T73="معتمد",'قياس الأداء للربع الأول'!$M73,0)+IF('قياس الأداء للربع الثاني'!$Q74="معتمد",'قياس الأداء للربع الثاني'!$M74,0)+IF($T75="معتمد",$M75,0))/$K75,"")</f>
        <v/>
      </c>
      <c r="X75" s="40" t="str">
        <f t="shared" si="11"/>
        <v>PRT-01PRT-01-KPI-03عدد فرص التعاون المنفذة بدون شراكة رسميةعددكلما زاد كان أفضلربع سنويتقريرإدارة الأداء و النمو000</v>
      </c>
    </row>
    <row r="76" spans="1:24" ht="15" customHeight="1">
      <c r="A76" s="23" t="s">
        <v>375</v>
      </c>
      <c r="B76" s="23" t="s">
        <v>376</v>
      </c>
      <c r="C76" s="15" t="s">
        <v>377</v>
      </c>
      <c r="D76" s="24"/>
      <c r="E76" s="25" t="s">
        <v>37</v>
      </c>
      <c r="F76" s="23" t="s">
        <v>30</v>
      </c>
      <c r="G76" s="15" t="s">
        <v>31</v>
      </c>
      <c r="H76" s="26" t="s">
        <v>423</v>
      </c>
      <c r="I76" s="9" t="s">
        <v>193</v>
      </c>
      <c r="J76" s="23">
        <v>0</v>
      </c>
      <c r="K76" s="31">
        <v>0.85</v>
      </c>
      <c r="L76" s="56">
        <v>0.85</v>
      </c>
      <c r="M76" s="28"/>
      <c r="N76" s="73" t="str">
        <f t="shared" si="8"/>
        <v/>
      </c>
      <c r="O76" s="80" t="str">
        <f t="shared" si="9"/>
        <v/>
      </c>
      <c r="P76" s="81" t="str">
        <f t="shared" si="10"/>
        <v/>
      </c>
      <c r="Q76" s="29"/>
      <c r="R76" s="29"/>
      <c r="S76" s="29"/>
      <c r="T76" s="29"/>
      <c r="U76" s="29"/>
      <c r="V76" s="82" t="str">
        <f>IF($T76&lt;&gt;"معتمد","",IFERROR((IF(AND('قياس الأداء للربع الأول'!$T74="معتمد",'قياس الأداء للربع الأول'!$L74&gt;0),'قياس الأداء للربع الأول'!$M74,0)+IF(AND('قياس الأداء للربع الثاني'!$Q75="معتمد",'قياس الأداء للربع الثاني'!$L75&gt;0),'قياس الأداء للربع الثاني'!$M75,0)+IF(AND($T76="معتمد",$L76&gt;0),$M76,0))/(IF(AND('قياس الأداء للربع الأول'!$T74="معتمد",'قياس الأداء للربع الأول'!$L74&gt;0),'قياس الأداء للربع الأول'!$L74,0)+IF(AND('قياس الأداء للربع الثاني'!$Q75="معتمد",'قياس الأداء للربع الثاني'!$L75&gt;0),'قياس الأداء للربع الثاني'!$L75,0)+IF(AND($T76="معتمد",$L76&gt;0),$L76,0)),""))</f>
        <v/>
      </c>
      <c r="W76" s="83" t="str">
        <f>IF(AND($T76="معتمد",$K76&gt;0),(IF('قياس الأداء للربع الأول'!$T74="معتمد",'قياس الأداء للربع الأول'!$M74,0)+IF('قياس الأداء للربع الثاني'!$Q75="معتمد",'قياس الأداء للربع الثاني'!$M75,0)+IF($T76="معتمد",$M76,0))/$K76,"")</f>
        <v/>
      </c>
      <c r="X76" s="40" t="str">
        <f t="shared" si="11"/>
        <v>EXP-02EXP-02-KPI-01نسبة البرامج أو المبادرات المنفذة بالشراكة بين جمعيتين أو أكثر من إجمالي البرامج المنفذةنسبةكلما زاد كان أفضلربع سنويتقريرإدارة الأداء و النمو00.850.85</v>
      </c>
    </row>
    <row r="77" spans="1:24" ht="15" customHeight="1">
      <c r="A77" s="23" t="s">
        <v>382</v>
      </c>
      <c r="B77" s="23" t="s">
        <v>383</v>
      </c>
      <c r="C77" s="15" t="s">
        <v>384</v>
      </c>
      <c r="D77" s="24"/>
      <c r="E77" s="25" t="s">
        <v>37</v>
      </c>
      <c r="F77" s="23" t="s">
        <v>30</v>
      </c>
      <c r="G77" s="15" t="s">
        <v>31</v>
      </c>
      <c r="H77" s="26" t="s">
        <v>423</v>
      </c>
      <c r="I77" s="9" t="s">
        <v>193</v>
      </c>
      <c r="J77" s="23">
        <v>0</v>
      </c>
      <c r="K77" s="31">
        <v>0.95</v>
      </c>
      <c r="L77" s="55">
        <v>0.95</v>
      </c>
      <c r="M77" s="28"/>
      <c r="N77" s="73" t="str">
        <f t="shared" si="8"/>
        <v/>
      </c>
      <c r="O77" s="80" t="str">
        <f t="shared" si="9"/>
        <v/>
      </c>
      <c r="P77" s="81" t="str">
        <f t="shared" si="10"/>
        <v/>
      </c>
      <c r="Q77" s="29"/>
      <c r="R77" s="29"/>
      <c r="S77" s="29"/>
      <c r="T77" s="29"/>
      <c r="U77" s="29"/>
      <c r="V77" s="82" t="str">
        <f>IF($T77&lt;&gt;"معتمد","",IFERROR((IF(AND('قياس الأداء للربع الأول'!$T75="معتمد",'قياس الأداء للربع الأول'!$L75&gt;0),'قياس الأداء للربع الأول'!$M75,0)+IF(AND('قياس الأداء للربع الثاني'!$Q76="معتمد",'قياس الأداء للربع الثاني'!$L76&gt;0),'قياس الأداء للربع الثاني'!$M76,0)+IF(AND($T77="معتمد",$L77&gt;0),$M77,0))/(IF(AND('قياس الأداء للربع الأول'!$T75="معتمد",'قياس الأداء للربع الأول'!$L75&gt;0),'قياس الأداء للربع الأول'!$L75,0)+IF(AND('قياس الأداء للربع الثاني'!$Q76="معتمد",'قياس الأداء للربع الثاني'!$L76&gt;0),'قياس الأداء للربع الثاني'!$L76,0)+IF(AND($T77="معتمد",$L77&gt;0),$L77,0)),""))</f>
        <v/>
      </c>
      <c r="W77" s="83" t="str">
        <f>IF(AND($T77="معتمد",$K77&gt;0),(IF('قياس الأداء للربع الأول'!$T75="معتمد",'قياس الأداء للربع الأول'!$M75,0)+IF('قياس الأداء للربع الثاني'!$Q76="معتمد",'قياس الأداء للربع الثاني'!$M76,0)+IF($T77="معتمد",$M77,0))/$K77,"")</f>
        <v/>
      </c>
      <c r="X77" s="40" t="str">
        <f t="shared" si="11"/>
        <v>PRG-05PRG-05-KPI-01نسبة إكتمال ودقة بيانات وملفات المستفيدين المستخدمة في البحث الإجتماعينسبةكلما زاد كان أفضلربع سنويتقريرإدارة الأداء و النمو00.950.95</v>
      </c>
    </row>
    <row r="78" spans="1:24" ht="15" customHeight="1">
      <c r="A78" s="15" t="s">
        <v>386</v>
      </c>
      <c r="B78" s="23" t="s">
        <v>387</v>
      </c>
      <c r="C78" s="30" t="s">
        <v>388</v>
      </c>
      <c r="D78" s="24"/>
      <c r="E78" s="25" t="s">
        <v>37</v>
      </c>
      <c r="F78" s="23" t="s">
        <v>30</v>
      </c>
      <c r="G78" s="15" t="s">
        <v>31</v>
      </c>
      <c r="H78" s="26" t="s">
        <v>423</v>
      </c>
      <c r="I78" s="9" t="s">
        <v>193</v>
      </c>
      <c r="J78" s="23">
        <v>0</v>
      </c>
      <c r="K78" s="27">
        <v>10</v>
      </c>
      <c r="L78" s="56">
        <v>1</v>
      </c>
      <c r="M78" s="28"/>
      <c r="N78" s="73" t="str">
        <f t="shared" si="8"/>
        <v/>
      </c>
      <c r="O78" s="80" t="str">
        <f t="shared" si="9"/>
        <v/>
      </c>
      <c r="P78" s="81" t="str">
        <f t="shared" si="10"/>
        <v/>
      </c>
      <c r="Q78" s="29"/>
      <c r="R78" s="29"/>
      <c r="S78" s="29"/>
      <c r="T78" s="29"/>
      <c r="U78" s="29"/>
      <c r="V78" s="82" t="str">
        <f>IF($T78&lt;&gt;"معتمد","",IFERROR((IF(AND('قياس الأداء للربع الأول'!$T76="معتمد",'قياس الأداء للربع الأول'!$L76&gt;0),'قياس الأداء للربع الأول'!$M76,0)+IF(AND('قياس الأداء للربع الثاني'!$Q77="معتمد",'قياس الأداء للربع الثاني'!$L77&gt;0),'قياس الأداء للربع الثاني'!$M77,0)+IF(AND($T78="معتمد",$L78&gt;0),$M78,0))/(IF(AND('قياس الأداء للربع الأول'!$T76="معتمد",'قياس الأداء للربع الأول'!$L76&gt;0),'قياس الأداء للربع الأول'!$L76,0)+IF(AND('قياس الأداء للربع الثاني'!$Q77="معتمد",'قياس الأداء للربع الثاني'!$L77&gt;0),'قياس الأداء للربع الثاني'!$L77,0)+IF(AND($T78="معتمد",$L78&gt;0),$L78,0)),""))</f>
        <v/>
      </c>
      <c r="W78" s="83" t="str">
        <f>IF(AND($T78="معتمد",$K78&gt;0),(IF('قياس الأداء للربع الأول'!$T76="معتمد",'قياس الأداء للربع الأول'!$M76,0)+IF('قياس الأداء للربع الثاني'!$Q77="معتمد",'قياس الأداء للربع الثاني'!$M77,0)+IF($T78="معتمد",$M78,0))/$K78,"")</f>
        <v/>
      </c>
      <c r="X78" s="40" t="str">
        <f t="shared" si="11"/>
        <v>PRG-03PRG-03-KPI-01نسبة تحقيق مستهدف الاستعانة بالخبراء والكفاءات المتخصصةنسبةكلما زاد كان أفضلربع سنويتقريرإدارة الأداء و النمو0101</v>
      </c>
    </row>
    <row r="79" spans="1:24" ht="15" customHeight="1">
      <c r="A79" s="15" t="s">
        <v>393</v>
      </c>
      <c r="B79" s="23" t="s">
        <v>394</v>
      </c>
      <c r="C79" s="30" t="s">
        <v>395</v>
      </c>
      <c r="D79" s="24"/>
      <c r="E79" s="25" t="s">
        <v>37</v>
      </c>
      <c r="F79" s="23" t="s">
        <v>30</v>
      </c>
      <c r="G79" s="15" t="s">
        <v>31</v>
      </c>
      <c r="H79" s="26" t="s">
        <v>423</v>
      </c>
      <c r="I79" s="9" t="s">
        <v>193</v>
      </c>
      <c r="J79" s="23">
        <v>0</v>
      </c>
      <c r="K79" s="27">
        <v>60</v>
      </c>
      <c r="L79" s="56">
        <v>15</v>
      </c>
      <c r="M79" s="28"/>
      <c r="N79" s="73" t="str">
        <f t="shared" si="8"/>
        <v/>
      </c>
      <c r="O79" s="80" t="str">
        <f t="shared" si="9"/>
        <v/>
      </c>
      <c r="P79" s="81" t="str">
        <f t="shared" si="10"/>
        <v/>
      </c>
      <c r="Q79" s="29"/>
      <c r="R79" s="29"/>
      <c r="S79" s="29"/>
      <c r="T79" s="29"/>
      <c r="U79" s="29"/>
      <c r="V79" s="82" t="str">
        <f>IF($T79&lt;&gt;"معتمد","",IFERROR((IF(AND('قياس الأداء للربع الأول'!$T77="معتمد",'قياس الأداء للربع الأول'!$L77&gt;0),'قياس الأداء للربع الأول'!$M77,0)+IF(AND('قياس الأداء للربع الثاني'!$Q78="معتمد",'قياس الأداء للربع الثاني'!$L78&gt;0),'قياس الأداء للربع الثاني'!$M78,0)+IF(AND($T79="معتمد",$L79&gt;0),$M79,0))/(IF(AND('قياس الأداء للربع الأول'!$T77="معتمد",'قياس الأداء للربع الأول'!$L77&gt;0),'قياس الأداء للربع الأول'!$L77,0)+IF(AND('قياس الأداء للربع الثاني'!$Q78="معتمد",'قياس الأداء للربع الثاني'!$L78&gt;0),'قياس الأداء للربع الثاني'!$L78,0)+IF(AND($T79="معتمد",$L79&gt;0),$L79,0)),""))</f>
        <v/>
      </c>
      <c r="W79" s="83" t="str">
        <f>IF(AND($T79="معتمد",$K79&gt;0),(IF('قياس الأداء للربع الأول'!$T77="معتمد",'قياس الأداء للربع الأول'!$M77,0)+IF('قياس الأداء للربع الثاني'!$Q78="معتمد",'قياس الأداء للربع الثاني'!$M78,0)+IF($T79="معتمد",$M79,0))/$K79,"")</f>
        <v/>
      </c>
      <c r="X79" s="40" t="str">
        <f t="shared" si="11"/>
        <v>EXP-01EXP-01-KPI-01نسبة تحقيق مستهدف انتشار خدمات الإدارةنسبةكلما زاد كان أفضلربع سنويتقريرإدارة الأداء و النمو06015</v>
      </c>
    </row>
    <row r="80" spans="1:24" ht="15" customHeight="1">
      <c r="A80" s="15" t="s">
        <v>400</v>
      </c>
      <c r="B80" s="23" t="s">
        <v>401</v>
      </c>
      <c r="C80" s="30" t="s">
        <v>402</v>
      </c>
      <c r="D80" s="24"/>
      <c r="E80" s="25" t="s">
        <v>157</v>
      </c>
      <c r="F80" s="23" t="s">
        <v>30</v>
      </c>
      <c r="G80" s="15" t="s">
        <v>31</v>
      </c>
      <c r="H80" s="26" t="s">
        <v>423</v>
      </c>
      <c r="I80" s="9" t="s">
        <v>193</v>
      </c>
      <c r="J80" s="23">
        <v>0</v>
      </c>
      <c r="K80" s="27">
        <v>6</v>
      </c>
      <c r="L80" s="56">
        <v>0</v>
      </c>
      <c r="M80" s="28"/>
      <c r="N80" s="73" t="str">
        <f t="shared" si="8"/>
        <v/>
      </c>
      <c r="O80" s="80" t="str">
        <f t="shared" si="9"/>
        <v/>
      </c>
      <c r="P80" s="81" t="str">
        <f t="shared" si="10"/>
        <v/>
      </c>
      <c r="Q80" s="29"/>
      <c r="R80" s="29"/>
      <c r="S80" s="29"/>
      <c r="T80" s="29"/>
      <c r="U80" s="29"/>
      <c r="V80" s="82" t="str">
        <f>IF($T80&lt;&gt;"معتمد","",IFERROR((IF(AND('قياس الأداء للربع الأول'!$T78="معتمد",'قياس الأداء للربع الأول'!$L78&gt;0),'قياس الأداء للربع الأول'!$M78,0)+IF(AND('قياس الأداء للربع الثاني'!$Q79="معتمد",'قياس الأداء للربع الثاني'!$L79&gt;0),'قياس الأداء للربع الثاني'!$M79,0)+IF(AND($T80="معتمد",$L80&gt;0),$M80,0))/(IF(AND('قياس الأداء للربع الأول'!$T78="معتمد",'قياس الأداء للربع الأول'!$L78&gt;0),'قياس الأداء للربع الأول'!$L78,0)+IF(AND('قياس الأداء للربع الثاني'!$Q79="معتمد",'قياس الأداء للربع الثاني'!$L79&gt;0),'قياس الأداء للربع الثاني'!$L79,0)+IF(AND($T80="معتمد",$L80&gt;0),$L80,0)),""))</f>
        <v/>
      </c>
      <c r="W80" s="83" t="str">
        <f>IF(AND($T80="معتمد",$K80&gt;0),(IF('قياس الأداء للربع الأول'!$T78="معتمد",'قياس الأداء للربع الأول'!$M78,0)+IF('قياس الأداء للربع الثاني'!$Q79="معتمد",'قياس الأداء للربع الثاني'!$M79,0)+IF($T80="معتمد",$M80,0))/$K80,"")</f>
        <v/>
      </c>
      <c r="X80" s="40" t="str">
        <f t="shared" si="11"/>
        <v>PRG-04PRG-04-KPI-01عدد المنتجات والمحتويات المعرفية المنتجةعددكلما زاد كان أفضلربع سنويتقريرإدارة الأداء و النمو060</v>
      </c>
    </row>
  </sheetData>
  <mergeCells count="1">
    <mergeCell ref="A1:W1"/>
  </mergeCells>
  <conditionalFormatting sqref="A2:V80">
    <cfRule type="expression" dxfId="143" priority="4">
      <formula>$T2="مرفوض"</formula>
    </cfRule>
    <cfRule type="expression" dxfId="142" priority="5">
      <formula>$T2="معتمد"</formula>
    </cfRule>
    <cfRule type="expression" dxfId="141" priority="6">
      <formula>$T2="تحت المراجعة"</formula>
    </cfRule>
  </conditionalFormatting>
  <conditionalFormatting sqref="AB9:AW9">
    <cfRule type="expression" dxfId="140" priority="1">
      <formula>$T6="مرفوض"</formula>
    </cfRule>
    <cfRule type="expression" dxfId="139" priority="2">
      <formula>$T6="معتمد"</formula>
    </cfRule>
    <cfRule type="expression" dxfId="138" priority="3">
      <formula>$T6="تحت المراجعة"</formula>
    </cfRule>
  </conditionalFormatting>
  <dataValidations count="2">
    <dataValidation type="list" allowBlank="1" showInputMessage="1" showErrorMessage="1" sqref="D3:D80" xr:uid="{00000000-0002-0000-0300-000000000000}">
      <formula1>"استراتيجي,تشغيلي"</formula1>
    </dataValidation>
    <dataValidation type="list" allowBlank="1" showInputMessage="1" showErrorMessage="1" sqref="T3:T80" xr:uid="{00000000-0002-0000-0300-000001000000}">
      <formula1>"تحت المراجعة,معتمد,مرفوض"</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AY80"/>
  <sheetViews>
    <sheetView rightToLeft="1" topLeftCell="N1" zoomScaleNormal="100" workbookViewId="0">
      <selection activeCell="AI6" sqref="AI6"/>
    </sheetView>
  </sheetViews>
  <sheetFormatPr defaultColWidth="9.140625" defaultRowHeight="16.899999999999999"/>
  <cols>
    <col min="1" max="1" width="9.140625" style="32" customWidth="1"/>
    <col min="2" max="2" width="9.140625" customWidth="1"/>
    <col min="3" max="3" width="35.28515625" customWidth="1"/>
    <col min="4" max="4" width="23.42578125" customWidth="1"/>
    <col min="5" max="5" width="10.42578125" style="33" customWidth="1"/>
    <col min="6" max="6" width="9.140625" customWidth="1"/>
    <col min="7" max="7" width="10.42578125" customWidth="1"/>
    <col min="8" max="8" width="37.85546875" customWidth="1"/>
    <col min="9" max="9" width="27" style="34" customWidth="1"/>
    <col min="10" max="10" width="9.85546875" customWidth="1"/>
    <col min="11" max="11" width="13.85546875" style="35" customWidth="1"/>
    <col min="12" max="12" width="15.42578125" customWidth="1"/>
    <col min="13" max="13" width="16.85546875" style="35" customWidth="1"/>
    <col min="14" max="14" width="13.85546875" style="34" customWidth="1"/>
    <col min="15" max="15" width="13.85546875" style="36" customWidth="1"/>
    <col min="16" max="16" width="13.85546875" style="37" customWidth="1"/>
    <col min="17" max="20" width="13.85546875" style="34" customWidth="1"/>
    <col min="21" max="21" width="18.5703125" style="34" customWidth="1"/>
    <col min="22" max="22" width="13.28515625" style="38" customWidth="1"/>
    <col min="23" max="23" width="13.28515625" customWidth="1"/>
    <col min="24" max="24" width="0" hidden="1" bestFit="1"/>
    <col min="25" max="26" width="9.140625" customWidth="1"/>
    <col min="27" max="27" width="15.42578125" customWidth="1"/>
    <col min="28" max="49" width="9.140625" customWidth="1"/>
    <col min="50" max="50" width="0" hidden="1"/>
    <col min="51" max="51" width="9.140625" customWidth="1"/>
  </cols>
  <sheetData>
    <row r="1" spans="1:51" ht="24" customHeight="1" thickBot="1">
      <c r="A1" s="342" t="s">
        <v>426</v>
      </c>
      <c r="B1" s="346"/>
      <c r="C1" s="346"/>
      <c r="D1" s="346"/>
      <c r="E1" s="346"/>
      <c r="F1" s="346"/>
      <c r="G1" s="346"/>
      <c r="H1" s="346"/>
      <c r="I1" s="346"/>
      <c r="J1" s="346"/>
      <c r="K1" s="346"/>
      <c r="L1" s="346"/>
      <c r="M1" s="346"/>
      <c r="N1" s="346"/>
      <c r="O1" s="346"/>
      <c r="P1" s="346"/>
      <c r="Q1" s="346"/>
      <c r="R1" s="346"/>
      <c r="S1" s="346"/>
      <c r="T1" s="346"/>
      <c r="U1" s="346"/>
      <c r="V1" s="346"/>
      <c r="W1" s="347"/>
    </row>
    <row r="2" spans="1:51" s="8" customFormat="1" ht="15" customHeight="1">
      <c r="A2" s="1" t="s">
        <v>1</v>
      </c>
      <c r="B2" s="1" t="s">
        <v>2</v>
      </c>
      <c r="C2" s="1" t="s">
        <v>66</v>
      </c>
      <c r="D2" s="1" t="s">
        <v>4</v>
      </c>
      <c r="E2" s="1" t="s">
        <v>5</v>
      </c>
      <c r="F2" s="1" t="s">
        <v>6</v>
      </c>
      <c r="G2" s="1" t="s">
        <v>7</v>
      </c>
      <c r="H2" s="1" t="s">
        <v>8</v>
      </c>
      <c r="I2" s="1" t="s">
        <v>9</v>
      </c>
      <c r="J2" s="1" t="s">
        <v>10</v>
      </c>
      <c r="K2" s="2" t="s">
        <v>11</v>
      </c>
      <c r="L2" s="3" t="s">
        <v>12</v>
      </c>
      <c r="M2" s="2" t="s">
        <v>13</v>
      </c>
      <c r="N2" s="2" t="s">
        <v>67</v>
      </c>
      <c r="O2" s="4" t="s">
        <v>68</v>
      </c>
      <c r="P2" s="5" t="s">
        <v>69</v>
      </c>
      <c r="Q2" s="1" t="s">
        <v>70</v>
      </c>
      <c r="R2" s="1" t="s">
        <v>71</v>
      </c>
      <c r="S2" s="1" t="s">
        <v>72</v>
      </c>
      <c r="T2" s="1" t="s">
        <v>20</v>
      </c>
      <c r="U2" s="6" t="s">
        <v>21</v>
      </c>
      <c r="V2" s="7" t="s">
        <v>22</v>
      </c>
      <c r="W2" s="7" t="s">
        <v>23</v>
      </c>
      <c r="X2" s="41" t="s">
        <v>24</v>
      </c>
    </row>
    <row r="3" spans="1:51" ht="18.75" customHeight="1" thickBot="1">
      <c r="A3" s="192" t="s">
        <v>25</v>
      </c>
      <c r="B3" s="9" t="s">
        <v>26</v>
      </c>
      <c r="C3" s="10" t="s">
        <v>27</v>
      </c>
      <c r="D3" s="10"/>
      <c r="E3" s="9" t="s">
        <v>29</v>
      </c>
      <c r="F3" s="9" t="s">
        <v>30</v>
      </c>
      <c r="G3" s="9" t="s">
        <v>31</v>
      </c>
      <c r="H3" s="9" t="s">
        <v>32</v>
      </c>
      <c r="I3" s="9" t="s">
        <v>33</v>
      </c>
      <c r="J3" s="9">
        <v>0</v>
      </c>
      <c r="K3" s="11">
        <v>20000</v>
      </c>
      <c r="L3" s="49">
        <v>4000</v>
      </c>
      <c r="M3" s="11"/>
      <c r="N3" s="73">
        <f t="shared" ref="N3:N34" si="0">IF(AND($T3="معتمد",$L3&gt;0),$M3/$L3,"")</f>
        <v>0</v>
      </c>
      <c r="O3" s="74">
        <f t="shared" ref="O3:O34" si="1">IF($T3="معتمد",$M3-$L3,"")</f>
        <v>-4000</v>
      </c>
      <c r="P3" s="73">
        <f t="shared" ref="P3:P34" si="2">IF(AND($T3="معتمد",$L3&gt;0),($M3-$L3)/$L3,"")</f>
        <v>-1</v>
      </c>
      <c r="Q3" s="10"/>
      <c r="R3" s="10"/>
      <c r="S3" s="10"/>
      <c r="T3" s="10" t="s">
        <v>405</v>
      </c>
      <c r="U3" s="10"/>
      <c r="V3" s="75" t="str">
        <f>IF($T3&lt;&gt;"معتمد","",IFERROR((IF(AND('قياس الأداء للربع الأول'!#REF!="معتمد",'قياس الأداء للربع الأول'!#REF!&gt;0),'قياس الأداء للربع الأول'!#REF!,0)+IF(AND('قياس الأداء للربع الثاني'!#REF!="معتمد",'قياس الأداء للربع الثاني'!#REF!&gt;0),'قياس الأداء للربع الثاني'!#REF!,0)+IF(AND('قياس الأداء للربع الثالث'!$T3="معتمد",'قياس الأداء للربع الثالث'!$L3&gt;0),'قياس الأداء للربع الثالث'!$M3,0)+IF(AND($T3="معتمد",$L3&gt;0),$M3,0))/(IF(AND('قياس الأداء للربع الأول'!#REF!="معتمد",'قياس الأداء للربع الأول'!#REF!&gt;0),'قياس الأداء للربع الأول'!#REF!,0)+IF(AND('قياس الأداء للربع الثاني'!#REF!="معتمد",'قياس الأداء للربع الثاني'!#REF!&gt;0),'قياس الأداء للربع الثاني'!#REF!,0)+IF(AND('قياس الأداء للربع الثالث'!$T3="معتمد",'قياس الأداء للربع الثالث'!$L3&gt;0),'قياس الأداء للربع الثالث'!$L3,0)+IF(AND($T3="معتمد",$L3&gt;0),$L3,0)),""))</f>
        <v/>
      </c>
      <c r="W3" s="75" t="e">
        <f>IF(AND($T3="معتمد",$K3&gt;0),(IF('قياس الأداء للربع الأول'!#REF!="معتمد",'قياس الأداء للربع الأول'!#REF!,0)+IF('قياس الأداء للربع الثاني'!#REF!="معتمد",'قياس الأداء للربع الثاني'!#REF!,0)+IF('قياس الأداء للربع الثالث'!$T3="معتمد",'قياس الأداء للربع الثالث'!$M3,0)+IF($T3="معتمد",$M3,0))/$K3,"")</f>
        <v>#REF!</v>
      </c>
      <c r="X3" s="40" t="e">
        <f t="shared" ref="X3:X34" si="3">A3&amp;B3&amp;C3&amp;D3&amp;E3&amp;F3&amp;G3&amp;H3&amp;I3&amp;J3&amp;K3&amp;L3&amp;M3&amp;N3&amp;O3&amp;P3&amp;Q3&amp;R3&amp;S3&amp;T3&amp;U3&amp;V3&amp;W3</f>
        <v>#REF!</v>
      </c>
    </row>
    <row r="4" spans="1:51" ht="37.5" customHeight="1" thickBot="1">
      <c r="A4" s="192" t="s">
        <v>25</v>
      </c>
      <c r="B4" s="9" t="s">
        <v>26</v>
      </c>
      <c r="C4" s="10" t="s">
        <v>27</v>
      </c>
      <c r="D4" s="10"/>
      <c r="E4" s="9" t="s">
        <v>29</v>
      </c>
      <c r="F4" s="9" t="s">
        <v>30</v>
      </c>
      <c r="G4" s="9" t="s">
        <v>31</v>
      </c>
      <c r="H4" s="9" t="s">
        <v>32</v>
      </c>
      <c r="I4" s="9" t="s">
        <v>33</v>
      </c>
      <c r="J4" s="9">
        <v>0</v>
      </c>
      <c r="K4" s="11">
        <v>20000</v>
      </c>
      <c r="L4" s="49">
        <v>4000</v>
      </c>
      <c r="M4" s="11"/>
      <c r="N4" s="73" t="str">
        <f t="shared" si="0"/>
        <v/>
      </c>
      <c r="O4" s="74" t="str">
        <f t="shared" si="1"/>
        <v/>
      </c>
      <c r="P4" s="73" t="str">
        <f t="shared" si="2"/>
        <v/>
      </c>
      <c r="Q4" s="10"/>
      <c r="R4" s="10"/>
      <c r="S4" s="10"/>
      <c r="T4" s="10" t="s">
        <v>406</v>
      </c>
      <c r="U4" s="10"/>
      <c r="V4" s="75" t="str">
        <f>IF($T4&lt;&gt;"معتمد","",IFERROR((IF(AND('قياس الأداء للربع الأول'!$T3="معتمد",'قياس الأداء للربع الأول'!$L3&gt;0),'قياس الأداء للربع الأول'!$M3,0)+IF(AND('قياس الأداء للربع الثاني'!$Q3="معتمد",'قياس الأداء للربع الثاني'!$L3&gt;0),'قياس الأداء للربع الثاني'!$M3,0)+IF(AND('قياس الأداء للربع الثالث'!$T4="معتمد",'قياس الأداء للربع الثالث'!$L4&gt;0),'قياس الأداء للربع الثالث'!$M4,0)+IF(AND($T4="معتمد",$L4&gt;0),$M4,0))/(IF(AND('قياس الأداء للربع الأول'!$T3="معتمد",'قياس الأداء للربع الأول'!$L3&gt;0),'قياس الأداء للربع الأول'!$L3,0)+IF(AND('قياس الأداء للربع الثاني'!$Q3="معتمد",'قياس الأداء للربع الثاني'!$L3&gt;0),'قياس الأداء للربع الثاني'!$L3,0)+IF(AND('قياس الأداء للربع الثالث'!$T4="معتمد",'قياس الأداء للربع الثالث'!$L4&gt;0),'قياس الأداء للربع الثالث'!$L4,0)+IF(AND($T4="معتمد",$L4&gt;0),$L4,0)),""))</f>
        <v/>
      </c>
      <c r="W4" s="75" t="str">
        <f>IF(AND($T4="معتمد",$K4&gt;0),(IF('قياس الأداء للربع الأول'!$T3="معتمد",'قياس الأداء للربع الأول'!$M3,0)+IF('قياس الأداء للربع الثاني'!$Q3="معتمد",'قياس الأداء للربع الثاني'!$M3,0)+IF('قياس الأداء للربع الثالث'!$T4="معتمد",'قياس الأداء للربع الثالث'!$M4,0)+IF($T4="معتمد",$M4,0))/$K4,"")</f>
        <v/>
      </c>
      <c r="X4" s="40" t="str">
        <f t="shared" si="3"/>
        <v>ع1ع1-1متوسط ما تتحصل عليه الأسرة من الجمعية ريالكلما زاد كان أفضلربع سنويتقرير مالي بالمعونات المقدمة للأسر المستفيدة وعدد الأسر المستفيدةإدارة الرعاية و التمكين0200004000تحت المراجعة</v>
      </c>
      <c r="AA4" s="39" t="s">
        <v>34</v>
      </c>
      <c r="AB4" s="72" t="s">
        <v>407</v>
      </c>
    </row>
    <row r="5" spans="1:51">
      <c r="A5" s="192" t="s">
        <v>25</v>
      </c>
      <c r="B5" s="9" t="s">
        <v>35</v>
      </c>
      <c r="C5" s="10" t="s">
        <v>36</v>
      </c>
      <c r="D5" s="10"/>
      <c r="E5" s="9" t="s">
        <v>37</v>
      </c>
      <c r="F5" s="9" t="s">
        <v>30</v>
      </c>
      <c r="G5" s="9" t="s">
        <v>31</v>
      </c>
      <c r="H5" s="9" t="s">
        <v>38</v>
      </c>
      <c r="I5" s="9" t="s">
        <v>33</v>
      </c>
      <c r="J5" s="9">
        <v>0</v>
      </c>
      <c r="K5" s="11">
        <v>0.94</v>
      </c>
      <c r="L5" s="50">
        <v>0.94</v>
      </c>
      <c r="M5" s="11"/>
      <c r="N5" s="73" t="str">
        <f t="shared" si="0"/>
        <v/>
      </c>
      <c r="O5" s="74" t="str">
        <f t="shared" si="1"/>
        <v/>
      </c>
      <c r="P5" s="73" t="str">
        <f t="shared" si="2"/>
        <v/>
      </c>
      <c r="Q5" s="13"/>
      <c r="R5" s="13"/>
      <c r="S5" s="13"/>
      <c r="T5" s="13" t="s">
        <v>406</v>
      </c>
      <c r="U5" s="13"/>
      <c r="V5" s="75" t="str">
        <f>IF($T5&lt;&gt;"معتمد","",IFERROR((IF(AND('قياس الأداء للربع الأول'!$T4="معتمد",'قياس الأداء للربع الأول'!$L4&gt;0),'قياس الأداء للربع الأول'!$M4,0)+IF(AND('قياس الأداء للربع الثاني'!$Q4="معتمد",'قياس الأداء للربع الثاني'!$L4&gt;0),'قياس الأداء للربع الثاني'!$M4,0)+IF(AND('قياس الأداء للربع الثالث'!$T5="معتمد",'قياس الأداء للربع الثالث'!$L5&gt;0),'قياس الأداء للربع الثالث'!$M5,0)+IF(AND($T5="معتمد",$L5&gt;0),$M5,0))/(IF(AND('قياس الأداء للربع الأول'!$T4="معتمد",'قياس الأداء للربع الأول'!$L4&gt;0),'قياس الأداء للربع الأول'!$L4,0)+IF(AND('قياس الأداء للربع الثاني'!$Q4="معتمد",'قياس الأداء للربع الثاني'!$L4&gt;0),'قياس الأداء للربع الثاني'!$L4,0)+IF(AND('قياس الأداء للربع الثالث'!$T5="معتمد",'قياس الأداء للربع الثالث'!$L5&gt;0),'قياس الأداء للربع الثالث'!$L5,0)+IF(AND($T5="معتمد",$L5&gt;0),$L5,0)),""))</f>
        <v/>
      </c>
      <c r="W5" s="75" t="str">
        <f>IF(AND($T5="معتمد",$K5&gt;0),(IF('قياس الأداء للربع الأول'!$T4="معتمد",'قياس الأداء للربع الأول'!$M4,0)+IF('قياس الأداء للربع الثاني'!$Q4="معتمد",'قياس الأداء للربع الثاني'!$M4,0)+IF('قياس الأداء للربع الثالث'!$T5="معتمد",'قياس الأداء للربع الثالث'!$M5,0)+IF($T5="معتمد",$M5,0))/$K5,"")</f>
        <v/>
      </c>
      <c r="X5" s="40" t="str">
        <f t="shared" si="3"/>
        <v>ع1ع2-1نسبة الأسر التي تم توفير الاحتياجات الضرورية لها نسبةكلما زاد كان أفضلربع سنويتقرير يصف الإحتياجات الضرورية المعرّفة في الجمعية والأسر المستفيدة منهاإدارة الرعاية و التمكين00.940.94تحت المراجعة</v>
      </c>
    </row>
    <row r="6" spans="1:51">
      <c r="A6" s="9" t="s">
        <v>42</v>
      </c>
      <c r="B6" s="9" t="s">
        <v>43</v>
      </c>
      <c r="C6" s="10" t="s">
        <v>44</v>
      </c>
      <c r="D6" s="10"/>
      <c r="E6" s="9" t="s">
        <v>45</v>
      </c>
      <c r="F6" s="9" t="s">
        <v>30</v>
      </c>
      <c r="G6" s="9" t="s">
        <v>31</v>
      </c>
      <c r="H6" s="9" t="s">
        <v>46</v>
      </c>
      <c r="I6" s="9" t="s">
        <v>33</v>
      </c>
      <c r="J6" s="9">
        <v>0</v>
      </c>
      <c r="K6" s="11">
        <v>450</v>
      </c>
      <c r="L6" s="50">
        <v>100</v>
      </c>
      <c r="M6" s="11"/>
      <c r="N6" s="73" t="str">
        <f t="shared" si="0"/>
        <v/>
      </c>
      <c r="O6" s="74" t="str">
        <f t="shared" si="1"/>
        <v/>
      </c>
      <c r="P6" s="73" t="str">
        <f t="shared" si="2"/>
        <v/>
      </c>
      <c r="Q6" s="10"/>
      <c r="R6" s="10"/>
      <c r="S6" s="10"/>
      <c r="T6" s="10"/>
      <c r="U6" s="10"/>
      <c r="V6" s="75" t="str">
        <f>IF($T6&lt;&gt;"معتمد","",IFERROR((IF(AND('قياس الأداء للربع الأول'!$T5="معتمد",'قياس الأداء للربع الأول'!$L5&gt;0),'قياس الأداء للربع الأول'!$M5,0)+IF(AND('قياس الأداء للربع الثاني'!$Q5="معتمد",'قياس الأداء للربع الثاني'!$L5&gt;0),'قياس الأداء للربع الثاني'!$M5,0)+IF(AND('قياس الأداء للربع الثالث'!$T6="معتمد",'قياس الأداء للربع الثالث'!$L6&gt;0),'قياس الأداء للربع الثالث'!$M6,0)+IF(AND($T6="معتمد",$L6&gt;0),$M6,0))/(IF(AND('قياس الأداء للربع الأول'!$T5="معتمد",'قياس الأداء للربع الأول'!$L5&gt;0),'قياس الأداء للربع الأول'!$L5,0)+IF(AND('قياس الأداء للربع الثاني'!$Q5="معتمد",'قياس الأداء للربع الثاني'!$L5&gt;0),'قياس الأداء للربع الثاني'!$L5,0)+IF(AND('قياس الأداء للربع الثالث'!$T6="معتمد",'قياس الأداء للربع الثالث'!$L6&gt;0),'قياس الأداء للربع الثالث'!$L6,0)+IF(AND($T6="معتمد",$L6&gt;0),$L6,0)),""))</f>
        <v/>
      </c>
      <c r="W6" s="75" t="str">
        <f>IF(AND($T6="معتمد",$K6&gt;0),(IF('قياس الأداء للربع الأول'!$T5="معتمد",'قياس الأداء للربع الأول'!$M5,0)+IF('قياس الأداء للربع الثاني'!$Q5="معتمد",'قياس الأداء للربع الثاني'!$M5,0)+IF('قياس الأداء للربع الثالث'!$T6="معتمد",'قياس الأداء للربع الثالث'!$M6,0)+IF($T6="معتمد",$M6,0))/$K6,"")</f>
        <v/>
      </c>
      <c r="X6" s="40" t="str">
        <f t="shared" si="3"/>
        <v>ع2ع1-2عدد المستفيدين الذين تم تأهيلهممستفيدكلما زاد كان أفضلربع سنويقائمة ببرامج التأهيل وعدد المستفيدين من كل برنامجإدارة الرعاية و التمكين0450100</v>
      </c>
    </row>
    <row r="7" spans="1:51" s="12" customFormat="1">
      <c r="A7" s="9" t="s">
        <v>42</v>
      </c>
      <c r="B7" s="9" t="s">
        <v>50</v>
      </c>
      <c r="C7" s="10" t="s">
        <v>408</v>
      </c>
      <c r="D7" s="10"/>
      <c r="E7" s="9" t="s">
        <v>52</v>
      </c>
      <c r="F7" s="9" t="s">
        <v>30</v>
      </c>
      <c r="G7" s="9" t="s">
        <v>31</v>
      </c>
      <c r="H7" s="9" t="s">
        <v>409</v>
      </c>
      <c r="I7" s="9" t="s">
        <v>62</v>
      </c>
      <c r="J7" s="9">
        <v>0</v>
      </c>
      <c r="K7" s="11">
        <v>50</v>
      </c>
      <c r="L7" s="50">
        <v>5</v>
      </c>
      <c r="M7" s="11"/>
      <c r="N7" s="73" t="str">
        <f t="shared" si="0"/>
        <v/>
      </c>
      <c r="O7" s="74" t="str">
        <f t="shared" si="1"/>
        <v/>
      </c>
      <c r="P7" s="73" t="str">
        <f t="shared" si="2"/>
        <v/>
      </c>
      <c r="Q7" s="10"/>
      <c r="R7" s="10"/>
      <c r="S7" s="10"/>
      <c r="T7" s="10"/>
      <c r="U7" s="10"/>
      <c r="V7" s="75" t="str">
        <f>IF($T7&lt;&gt;"معتمد","",IFERROR((IF(AND('قياس الأداء للربع الأول'!$T6="معتمد",'قياس الأداء للربع الأول'!$L6&gt;0),'قياس الأداء للربع الأول'!$M6,0)+IF(AND('قياس الأداء للربع الثاني'!$Q6="معتمد",'قياس الأداء للربع الثاني'!$L6&gt;0),'قياس الأداء للربع الثاني'!$M6,0)+IF(AND('قياس الأداء للربع الثالث'!$T7="معتمد",'قياس الأداء للربع الثالث'!$L7&gt;0),'قياس الأداء للربع الثالث'!$M7,0)+IF(AND($T7="معتمد",$L7&gt;0),$M7,0))/(IF(AND('قياس الأداء للربع الأول'!$T6="معتمد",'قياس الأداء للربع الأول'!$L6&gt;0),'قياس الأداء للربع الأول'!$L6,0)+IF(AND('قياس الأداء للربع الثاني'!$Q6="معتمد",'قياس الأداء للربع الثاني'!$L6&gt;0),'قياس الأداء للربع الثاني'!$L6,0)+IF(AND('قياس الأداء للربع الثالث'!$T7="معتمد",'قياس الأداء للربع الثالث'!$L7&gt;0),'قياس الأداء للربع الثالث'!$L7,0)+IF(AND($T7="معتمد",$L7&gt;0),$L7,0)),""))</f>
        <v/>
      </c>
      <c r="W7" s="75" t="str">
        <f>IF(AND($T7="معتمد",$K7&gt;0),(IF('قياس الأداء للربع الأول'!$T6="معتمد",'قياس الأداء للربع الأول'!$M6,0)+IF('قياس الأداء للربع الثاني'!$Q6="معتمد",'قياس الأداء للربع الثاني'!$M6,0)+IF('قياس الأداء للربع الثالث'!$T7="معتمد",'قياس الأداء للربع الثالث'!$M7,0)+IF($T7="معتمد",$M7,0))/$K7,"")</f>
        <v/>
      </c>
      <c r="X7" s="40" t="str">
        <f t="shared" si="3"/>
        <v>ع2ع2-2عدد الأسر التي استغنت عن خدمات الجمعياتأسرةكلما زاد كان أفضلربع سنويقائمة بمستفيدي الجمعية  والأسر التي استغنت عن خدمات الجمعيةإدارة التكافل المجتمعي0505</v>
      </c>
    </row>
    <row r="8" spans="1:51" s="12" customFormat="1">
      <c r="A8" s="9" t="s">
        <v>57</v>
      </c>
      <c r="B8" s="9" t="s">
        <v>58</v>
      </c>
      <c r="C8" s="10" t="s">
        <v>59</v>
      </c>
      <c r="D8" s="10"/>
      <c r="E8" s="9" t="s">
        <v>60</v>
      </c>
      <c r="F8" s="9" t="s">
        <v>30</v>
      </c>
      <c r="G8" s="9" t="s">
        <v>31</v>
      </c>
      <c r="H8" s="9" t="s">
        <v>61</v>
      </c>
      <c r="I8" s="9" t="s">
        <v>62</v>
      </c>
      <c r="J8" s="9">
        <v>0</v>
      </c>
      <c r="K8" s="14">
        <v>7</v>
      </c>
      <c r="L8" s="51">
        <v>0</v>
      </c>
      <c r="M8" s="14"/>
      <c r="N8" s="73" t="str">
        <f t="shared" si="0"/>
        <v/>
      </c>
      <c r="O8" s="76" t="str">
        <f t="shared" si="1"/>
        <v/>
      </c>
      <c r="P8" s="77" t="str">
        <f t="shared" si="2"/>
        <v/>
      </c>
      <c r="Q8" s="16"/>
      <c r="R8" s="16"/>
      <c r="S8" s="16"/>
      <c r="T8" s="16"/>
      <c r="U8" s="16"/>
      <c r="V8" s="75" t="str">
        <f>IF($T8&lt;&gt;"معتمد","",IFERROR((IF(AND('قياس الأداء للربع الأول'!$T7="معتمد",'قياس الأداء للربع الأول'!$L7&gt;0),'قياس الأداء للربع الأول'!$M7,0)+IF(AND('قياس الأداء للربع الثاني'!$Q7="معتمد",'قياس الأداء للربع الثاني'!$L7&gt;0),'قياس الأداء للربع الثاني'!$M7,0)+IF(AND('قياس الأداء للربع الثالث'!$T8="معتمد",'قياس الأداء للربع الثالث'!$L8&gt;0),'قياس الأداء للربع الثالث'!$M8,0)+IF(AND($T8="معتمد",$L8&gt;0),$M8,0))/(IF(AND('قياس الأداء للربع الأول'!$T7="معتمد",'قياس الأداء للربع الأول'!$L7&gt;0),'قياس الأداء للربع الأول'!$L7,0)+IF(AND('قياس الأداء للربع الثاني'!$Q7="معتمد",'قياس الأداء للربع الثاني'!$L7&gt;0),'قياس الأداء للربع الثاني'!$L7,0)+IF(AND('قياس الأداء للربع الثالث'!$T8="معتمد",'قياس الأداء للربع الثالث'!$L8&gt;0),'قياس الأداء للربع الثالث'!$L8,0)+IF(AND($T8="معتمد",$L8&gt;0),$L8,0)),""))</f>
        <v/>
      </c>
      <c r="W8" s="75" t="str">
        <f>IF(AND($T8="معتمد",$K8&gt;0),(IF('قياس الأداء للربع الأول'!$T7="معتمد",'قياس الأداء للربع الأول'!$M7,0)+IF('قياس الأداء للربع الثاني'!$Q7="معتمد",'قياس الأداء للربع الثاني'!$M7,0)+IF('قياس الأداء للربع الثالث'!$T8="معتمد",'قياس الأداء للربع الثالث'!$M8,0)+IF($T8="معتمد",$M8,0))/$K8,"")</f>
        <v/>
      </c>
      <c r="X8" s="40" t="str">
        <f t="shared" si="3"/>
        <v>ع3ع1-3عدد المبادرات المنفذة لحماية الأسر من مسببات الفقرمبادرةكلما زاد كان أفضلربع سنويتقرير بالمبادرات المنفذة لحماية الأسر من مسببات الفقرإدارة التكافل المجتمعي070</v>
      </c>
    </row>
    <row r="9" spans="1:51" s="12" customFormat="1">
      <c r="A9" s="9" t="s">
        <v>57</v>
      </c>
      <c r="B9" s="9" t="s">
        <v>63</v>
      </c>
      <c r="C9" s="10" t="s">
        <v>64</v>
      </c>
      <c r="D9" s="10"/>
      <c r="E9" s="9" t="s">
        <v>45</v>
      </c>
      <c r="F9" s="9" t="s">
        <v>30</v>
      </c>
      <c r="G9" s="9" t="s">
        <v>31</v>
      </c>
      <c r="H9" s="9" t="s">
        <v>65</v>
      </c>
      <c r="I9" s="9" t="s">
        <v>62</v>
      </c>
      <c r="J9" s="9">
        <v>0</v>
      </c>
      <c r="K9" s="14">
        <v>40000</v>
      </c>
      <c r="L9" s="52">
        <v>11000</v>
      </c>
      <c r="M9" s="14"/>
      <c r="N9" s="73" t="str">
        <f t="shared" si="0"/>
        <v/>
      </c>
      <c r="O9" s="76" t="str">
        <f t="shared" si="1"/>
        <v/>
      </c>
      <c r="P9" s="77" t="str">
        <f t="shared" si="2"/>
        <v/>
      </c>
      <c r="Q9" s="16"/>
      <c r="R9" s="16"/>
      <c r="S9" s="16"/>
      <c r="T9" s="16"/>
      <c r="U9" s="16"/>
      <c r="V9" s="75" t="str">
        <f>IF($T9&lt;&gt;"معتمد","",IFERROR((IF(AND('قياس الأداء للربع الأول'!$T8="معتمد",'قياس الأداء للربع الأول'!$L8&gt;0),'قياس الأداء للربع الأول'!$M8,0)+IF(AND('قياس الأداء للربع الثاني'!$Q8="معتمد",'قياس الأداء للربع الثاني'!$L8&gt;0),'قياس الأداء للربع الثاني'!$M8,0)+IF(AND('قياس الأداء للربع الثالث'!$T9="معتمد",'قياس الأداء للربع الثالث'!$L9&gt;0),'قياس الأداء للربع الثالث'!$M9,0)+IF(AND($T9="معتمد",$L9&gt;0),$M9,0))/(IF(AND('قياس الأداء للربع الأول'!$T8="معتمد",'قياس الأداء للربع الأول'!$L8&gt;0),'قياس الأداء للربع الأول'!$L8,0)+IF(AND('قياس الأداء للربع الثاني'!$Q8="معتمد",'قياس الأداء للربع الثاني'!$L8&gt;0),'قياس الأداء للربع الثاني'!$L8,0)+IF(AND('قياس الأداء للربع الثالث'!$T9="معتمد",'قياس الأداء للربع الثالث'!$L9&gt;0),'قياس الأداء للربع الثالث'!$L9,0)+IF(AND($T9="معتمد",$L9&gt;0),$L9,0)),""))</f>
        <v/>
      </c>
      <c r="W9" s="75" t="str">
        <f>IF(AND($T9="معتمد",$K9&gt;0),(IF('قياس الأداء للربع الأول'!$T8="معتمد",'قياس الأداء للربع الأول'!$M8,0)+IF('قياس الأداء للربع الثاني'!$Q8="معتمد",'قياس الأداء للربع الثاني'!$M8,0)+IF('قياس الأداء للربع الثالث'!$T9="معتمد",'قياس الأداء للربع الثالث'!$M9,0)+IF($T9="معتمد",$M9,0))/$K9,"")</f>
        <v/>
      </c>
      <c r="X9" s="40" t="str">
        <f t="shared" si="3"/>
        <v>ع3ع2-3عدد المستفيدين من المبادرات مستفيدكلما زاد كان أفضلربع سنويتقرير بالمبادرات المنفذة لحماية الأسر من مسببات الفقر، ونوعها وعدد المستفيدين في كل مبادرةإدارة التكافل المجتمعي04000011000</v>
      </c>
      <c r="AC9" s="42" t="s">
        <v>1</v>
      </c>
      <c r="AD9" s="42" t="s">
        <v>2</v>
      </c>
      <c r="AE9" s="42" t="s">
        <v>66</v>
      </c>
      <c r="AF9" s="42" t="s">
        <v>4</v>
      </c>
      <c r="AG9" s="42" t="s">
        <v>5</v>
      </c>
      <c r="AH9" s="42" t="s">
        <v>6</v>
      </c>
      <c r="AI9" s="42" t="s">
        <v>7</v>
      </c>
      <c r="AJ9" s="42" t="s">
        <v>8</v>
      </c>
      <c r="AK9" s="42" t="s">
        <v>9</v>
      </c>
      <c r="AL9" s="42" t="s">
        <v>10</v>
      </c>
      <c r="AM9" s="43" t="s">
        <v>11</v>
      </c>
      <c r="AN9" s="44" t="s">
        <v>12</v>
      </c>
      <c r="AO9" s="43" t="s">
        <v>13</v>
      </c>
      <c r="AP9" s="43" t="s">
        <v>67</v>
      </c>
      <c r="AQ9" s="45" t="s">
        <v>68</v>
      </c>
      <c r="AR9" s="46" t="s">
        <v>69</v>
      </c>
      <c r="AS9" s="42" t="s">
        <v>70</v>
      </c>
      <c r="AT9" s="42" t="s">
        <v>71</v>
      </c>
      <c r="AU9" s="42" t="s">
        <v>72</v>
      </c>
      <c r="AV9" s="42" t="s">
        <v>20</v>
      </c>
      <c r="AW9" s="47" t="s">
        <v>21</v>
      </c>
      <c r="AX9" s="48" t="s">
        <v>22</v>
      </c>
    </row>
    <row r="10" spans="1:51" s="12" customFormat="1">
      <c r="A10" s="9" t="s">
        <v>73</v>
      </c>
      <c r="B10" s="9" t="s">
        <v>74</v>
      </c>
      <c r="C10" s="10" t="s">
        <v>75</v>
      </c>
      <c r="D10" s="10" t="s">
        <v>238</v>
      </c>
      <c r="E10" s="9" t="s">
        <v>76</v>
      </c>
      <c r="F10" s="9" t="s">
        <v>30</v>
      </c>
      <c r="G10" s="9" t="s">
        <v>31</v>
      </c>
      <c r="H10" s="9" t="s">
        <v>77</v>
      </c>
      <c r="I10" s="9" t="s">
        <v>62</v>
      </c>
      <c r="J10" s="9">
        <v>0</v>
      </c>
      <c r="K10" s="11">
        <v>7</v>
      </c>
      <c r="L10" s="50">
        <v>0</v>
      </c>
      <c r="M10" s="11">
        <v>50</v>
      </c>
      <c r="N10" s="73" t="str">
        <f t="shared" si="0"/>
        <v/>
      </c>
      <c r="O10" s="74">
        <f t="shared" si="1"/>
        <v>50</v>
      </c>
      <c r="P10" s="73" t="str">
        <f t="shared" si="2"/>
        <v/>
      </c>
      <c r="Q10" s="10" t="s">
        <v>410</v>
      </c>
      <c r="R10" s="10" t="s">
        <v>411</v>
      </c>
      <c r="S10" s="10" t="s">
        <v>412</v>
      </c>
      <c r="T10" s="10" t="s">
        <v>405</v>
      </c>
      <c r="U10" s="10"/>
      <c r="V10" s="75" t="str">
        <f>IF($T10&lt;&gt;"معتمد","",IFERROR((IF(AND('قياس الأداء للربع الأول'!$T9="معتمد",'قياس الأداء للربع الأول'!$L9&gt;0),'قياس الأداء للربع الأول'!$M9,0)+IF(AND('قياس الأداء للربع الثاني'!$Q9="معتمد",'قياس الأداء للربع الثاني'!$L9&gt;0),'قياس الأداء للربع الثاني'!$M9,0)+IF(AND('قياس الأداء للربع الثالث'!$T10="معتمد",'قياس الأداء للربع الثالث'!$L10&gt;0),'قياس الأداء للربع الثالث'!$M10,0)+IF(AND($T10="معتمد",$L10&gt;0),$M10,0))/(IF(AND('قياس الأداء للربع الأول'!$T9="معتمد",'قياس الأداء للربع الأول'!$L9&gt;0),'قياس الأداء للربع الأول'!$L9,0)+IF(AND('قياس الأداء للربع الثاني'!$Q9="معتمد",'قياس الأداء للربع الثاني'!$L9&gt;0),'قياس الأداء للربع الثاني'!$L9,0)+IF(AND('قياس الأداء للربع الثالث'!$T10="معتمد",'قياس الأداء للربع الثالث'!$L10&gt;0),'قياس الأداء للربع الثالث'!$L10,0)+IF(AND($T10="معتمد",$L10&gt;0),$L10,0)),""))</f>
        <v/>
      </c>
      <c r="W10" s="75">
        <f>IF(AND($T10="معتمد",$K10&gt;0),(IF('قياس الأداء للربع الأول'!$T9="معتمد",'قياس الأداء للربع الأول'!$M9,0)+IF('قياس الأداء للربع الثاني'!$Q9="معتمد",'قياس الأداء للربع الثاني'!$M9,0)+IF('قياس الأداء للربع الثالث'!$T10="معتمد",'قياس الأداء للربع الثالث'!$M10,0)+IF($T10="معتمد",$M10,0))/$K10,"")</f>
        <v>14.285714285714286</v>
      </c>
      <c r="X10" s="40" t="str">
        <f t="shared" si="3"/>
        <v>ع4ع1-4عدد مشاريع المشاركة المجتمعية التي نفذتها الجمعيةتشغيليمشروعكلما زاد كان أفضلربع سنويقائمة ببرامج المشاركة المجتمعية المنفذةإدارة التكافل المجتمعي0705050ادخال ادخالرابطمعتمد14.2857142857143</v>
      </c>
      <c r="AB10" s="12" t="e">
        <f t="array" ref="AB10:AX19">_xlfn._xlws.FILTER(الجدول4234[],ISNUMBER(SEARCH(AA4,#REF!)),"غير موجود")</f>
        <v>#VALUE!</v>
      </c>
      <c r="AC10" s="12" t="e">
        <v>#VALUE!</v>
      </c>
      <c r="AD10" s="12" t="e">
        <v>#VALUE!</v>
      </c>
      <c r="AE10" s="12" t="e">
        <v>#VALUE!</v>
      </c>
      <c r="AF10" s="12" t="e">
        <v>#VALUE!</v>
      </c>
      <c r="AG10" s="12" t="e">
        <v>#VALUE!</v>
      </c>
      <c r="AH10" s="12" t="e">
        <v>#VALUE!</v>
      </c>
      <c r="AI10" s="12" t="e">
        <v>#VALUE!</v>
      </c>
      <c r="AJ10" s="12" t="e">
        <v>#VALUE!</v>
      </c>
      <c r="AK10" s="12" t="e">
        <v>#VALUE!</v>
      </c>
      <c r="AL10" s="12" t="e">
        <v>#VALUE!</v>
      </c>
      <c r="AM10" s="12" t="e">
        <v>#VALUE!</v>
      </c>
      <c r="AN10" s="12" t="e">
        <v>#VALUE!</v>
      </c>
      <c r="AO10" s="12" t="e">
        <v>#VALUE!</v>
      </c>
      <c r="AP10" s="12" t="e">
        <v>#VALUE!</v>
      </c>
      <c r="AQ10" s="12" t="e">
        <v>#VALUE!</v>
      </c>
      <c r="AR10" s="12" t="e">
        <v>#VALUE!</v>
      </c>
      <c r="AS10" s="12" t="e">
        <v>#VALUE!</v>
      </c>
      <c r="AT10" s="12" t="e">
        <v>#VALUE!</v>
      </c>
      <c r="AU10" s="12" t="e">
        <v>#VALUE!</v>
      </c>
      <c r="AV10" s="12" t="e">
        <v>#VALUE!</v>
      </c>
      <c r="AW10" s="12" t="e">
        <v>#VALUE!</v>
      </c>
      <c r="AX10" s="12" t="e">
        <v>#VALUE!</v>
      </c>
      <c r="AY10" s="12" t="s">
        <v>413</v>
      </c>
    </row>
    <row r="11" spans="1:51" s="12" customFormat="1">
      <c r="A11" s="9" t="s">
        <v>73</v>
      </c>
      <c r="B11" s="9" t="s">
        <v>83</v>
      </c>
      <c r="C11" s="10" t="s">
        <v>84</v>
      </c>
      <c r="D11" s="10"/>
      <c r="E11" s="9" t="s">
        <v>85</v>
      </c>
      <c r="F11" s="9" t="s">
        <v>30</v>
      </c>
      <c r="G11" s="9" t="s">
        <v>31</v>
      </c>
      <c r="H11" s="9" t="s">
        <v>86</v>
      </c>
      <c r="I11" s="9" t="s">
        <v>62</v>
      </c>
      <c r="J11" s="9">
        <v>0</v>
      </c>
      <c r="K11" s="11">
        <v>70000</v>
      </c>
      <c r="L11" s="50">
        <v>20000</v>
      </c>
      <c r="M11" s="11"/>
      <c r="N11" s="73" t="str">
        <f t="shared" si="0"/>
        <v/>
      </c>
      <c r="O11" s="74" t="str">
        <f t="shared" si="1"/>
        <v/>
      </c>
      <c r="P11" s="73" t="str">
        <f t="shared" si="2"/>
        <v/>
      </c>
      <c r="Q11" s="10"/>
      <c r="R11" s="10"/>
      <c r="S11" s="10"/>
      <c r="T11" s="10"/>
      <c r="U11" s="10"/>
      <c r="V11" s="75" t="str">
        <f>IF($T11&lt;&gt;"معتمد","",IFERROR((IF(AND('قياس الأداء للربع الأول'!$T10="معتمد",'قياس الأداء للربع الأول'!$L10&gt;0),'قياس الأداء للربع الأول'!$M10,0)+IF(AND('قياس الأداء للربع الثاني'!$Q10="معتمد",'قياس الأداء للربع الثاني'!$L10&gt;0),'قياس الأداء للربع الثاني'!$M10,0)+IF(AND('قياس الأداء للربع الثالث'!$T11="معتمد",'قياس الأداء للربع الثالث'!$L11&gt;0),'قياس الأداء للربع الثالث'!$M11,0)+IF(AND($T11="معتمد",$L11&gt;0),$M11,0))/(IF(AND('قياس الأداء للربع الأول'!$T10="معتمد",'قياس الأداء للربع الأول'!$L10&gt;0),'قياس الأداء للربع الأول'!$L10,0)+IF(AND('قياس الأداء للربع الثاني'!$Q10="معتمد",'قياس الأداء للربع الثاني'!$L10&gt;0),'قياس الأداء للربع الثاني'!$L10,0)+IF(AND('قياس الأداء للربع الثالث'!$T11="معتمد",'قياس الأداء للربع الثالث'!$L11&gt;0),'قياس الأداء للربع الثالث'!$L11,0)+IF(AND($T11="معتمد",$L11&gt;0),$L11,0)),""))</f>
        <v/>
      </c>
      <c r="W11" s="75" t="str">
        <f>IF(AND($T11="معتمد",$K11&gt;0),(IF('قياس الأداء للربع الأول'!$T10="معتمد",'قياس الأداء للربع الأول'!$M10,0)+IF('قياس الأداء للربع الثاني'!$Q10="معتمد",'قياس الأداء للربع الثاني'!$M10,0)+IF('قياس الأداء للربع الثالث'!$T11="معتمد",'قياس الأداء للربع الثالث'!$M11,0)+IF($T11="معتمد",$M11,0))/$K11,"")</f>
        <v/>
      </c>
      <c r="X11" s="40" t="str">
        <f t="shared" si="3"/>
        <v>ع4ع2-4عدد المشاركين من المجتمع في برامج المشاركة المجتمعيةمشارككلما زاد كان أفضلربع سنويقائمة ببرامج المشاركة المجتمعية المنفذة وعدد المشاركينإدارة التكافل المجتمعي07000020000</v>
      </c>
      <c r="AB11" s="12" t="e">
        <v>#VALUE!</v>
      </c>
      <c r="AC11" s="12" t="e">
        <v>#VALUE!</v>
      </c>
      <c r="AD11" s="12" t="e">
        <v>#VALUE!</v>
      </c>
      <c r="AE11" s="12" t="e">
        <v>#VALUE!</v>
      </c>
      <c r="AF11" s="12" t="e">
        <v>#VALUE!</v>
      </c>
      <c r="AG11" s="12" t="e">
        <v>#VALUE!</v>
      </c>
      <c r="AH11" s="12" t="e">
        <v>#VALUE!</v>
      </c>
      <c r="AI11" s="12" t="e">
        <v>#VALUE!</v>
      </c>
      <c r="AJ11" s="12" t="e">
        <v>#VALUE!</v>
      </c>
      <c r="AK11" s="12" t="e">
        <v>#VALUE!</v>
      </c>
      <c r="AL11" s="12" t="e">
        <v>#VALUE!</v>
      </c>
      <c r="AM11" s="12" t="e">
        <v>#VALUE!</v>
      </c>
      <c r="AN11" s="12" t="e">
        <v>#VALUE!</v>
      </c>
      <c r="AO11" s="12" t="e">
        <v>#VALUE!</v>
      </c>
      <c r="AP11" s="12" t="e">
        <v>#VALUE!</v>
      </c>
      <c r="AQ11" s="12" t="e">
        <v>#VALUE!</v>
      </c>
      <c r="AR11" s="12" t="e">
        <v>#VALUE!</v>
      </c>
      <c r="AS11" s="12" t="e">
        <v>#VALUE!</v>
      </c>
      <c r="AT11" s="12" t="e">
        <v>#VALUE!</v>
      </c>
      <c r="AU11" s="12" t="e">
        <v>#VALUE!</v>
      </c>
      <c r="AV11" s="12" t="e">
        <v>#VALUE!</v>
      </c>
      <c r="AW11" s="12" t="e">
        <v>#VALUE!</v>
      </c>
      <c r="AX11" s="12" t="e">
        <v>#VALUE!</v>
      </c>
      <c r="AY11" s="12" t="s">
        <v>414</v>
      </c>
    </row>
    <row r="12" spans="1:51" s="12" customFormat="1">
      <c r="A12" s="9" t="s">
        <v>90</v>
      </c>
      <c r="B12" s="9" t="s">
        <v>91</v>
      </c>
      <c r="C12" s="10" t="s">
        <v>92</v>
      </c>
      <c r="D12" s="10"/>
      <c r="E12" s="9" t="s">
        <v>29</v>
      </c>
      <c r="F12" s="9" t="s">
        <v>30</v>
      </c>
      <c r="G12" s="9" t="s">
        <v>31</v>
      </c>
      <c r="H12" s="9" t="s">
        <v>93</v>
      </c>
      <c r="I12" s="9" t="s">
        <v>94</v>
      </c>
      <c r="J12" s="9">
        <v>0</v>
      </c>
      <c r="K12" s="11">
        <v>1500000</v>
      </c>
      <c r="L12" s="50">
        <v>300000</v>
      </c>
      <c r="M12" s="11"/>
      <c r="N12" s="73" t="str">
        <f t="shared" si="0"/>
        <v/>
      </c>
      <c r="O12" s="74" t="str">
        <f t="shared" si="1"/>
        <v/>
      </c>
      <c r="P12" s="73" t="str">
        <f t="shared" si="2"/>
        <v/>
      </c>
      <c r="Q12" s="10"/>
      <c r="R12" s="10"/>
      <c r="S12" s="10"/>
      <c r="T12" s="10"/>
      <c r="U12" s="10"/>
      <c r="V12" s="75" t="str">
        <f>IF($T12&lt;&gt;"معتمد","",IFERROR((IF(AND('قياس الأداء للربع الأول'!$T11="معتمد",'قياس الأداء للربع الأول'!$L11&gt;0),'قياس الأداء للربع الأول'!$M11,0)+IF(AND('قياس الأداء للربع الثاني'!$Q11="معتمد",'قياس الأداء للربع الثاني'!$L11&gt;0),'قياس الأداء للربع الثاني'!$M11,0)+IF(AND('قياس الأداء للربع الثالث'!$T12="معتمد",'قياس الأداء للربع الثالث'!$L12&gt;0),'قياس الأداء للربع الثالث'!$M12,0)+IF(AND($T12="معتمد",$L12&gt;0),$M12,0))/(IF(AND('قياس الأداء للربع الأول'!$T11="معتمد",'قياس الأداء للربع الأول'!$L11&gt;0),'قياس الأداء للربع الأول'!$L11,0)+IF(AND('قياس الأداء للربع الثاني'!$Q11="معتمد",'قياس الأداء للربع الثاني'!$L11&gt;0),'قياس الأداء للربع الثاني'!$L11,0)+IF(AND('قياس الأداء للربع الثالث'!$T12="معتمد",'قياس الأداء للربع الثالث'!$L12&gt;0),'قياس الأداء للربع الثالث'!$L12,0)+IF(AND($T12="معتمد",$L12&gt;0),$L12,0)),""))</f>
        <v/>
      </c>
      <c r="W12" s="75" t="str">
        <f>IF(AND($T12="معتمد",$K12&gt;0),(IF('قياس الأداء للربع الأول'!$T11="معتمد",'قياس الأداء للربع الأول'!$M11,0)+IF('قياس الأداء للربع الثاني'!$Q11="معتمد",'قياس الأداء للربع الثاني'!$M11,0)+IF('قياس الأداء للربع الثالث'!$T12="معتمد",'قياس الأداء للربع الثالث'!$M12,0)+IF($T12="معتمد",$M12,0))/$K12,"")</f>
        <v/>
      </c>
      <c r="X12" s="40" t="str">
        <f t="shared" si="3"/>
        <v>م1م1-1صافي أرباح المصادر الثابتةريالكلما زاد كان أفضلربع سنويتقرير مالي بالإيرادات والمصروفات المالية للجمعيةإدارة الشؤون المالية و الإدارية01500000300000</v>
      </c>
      <c r="AB12" s="12" t="e">
        <v>#VALUE!</v>
      </c>
      <c r="AC12" s="12" t="e">
        <v>#VALUE!</v>
      </c>
      <c r="AD12" s="12" t="e">
        <v>#VALUE!</v>
      </c>
      <c r="AE12" s="12" t="e">
        <v>#VALUE!</v>
      </c>
      <c r="AF12" s="12" t="e">
        <v>#VALUE!</v>
      </c>
      <c r="AG12" s="12" t="e">
        <v>#VALUE!</v>
      </c>
      <c r="AH12" s="12" t="e">
        <v>#VALUE!</v>
      </c>
      <c r="AI12" s="12" t="e">
        <v>#VALUE!</v>
      </c>
      <c r="AJ12" s="12" t="e">
        <v>#VALUE!</v>
      </c>
      <c r="AK12" s="12" t="e">
        <v>#VALUE!</v>
      </c>
      <c r="AL12" s="12" t="e">
        <v>#VALUE!</v>
      </c>
      <c r="AM12" s="12" t="e">
        <v>#VALUE!</v>
      </c>
      <c r="AN12" s="12" t="e">
        <v>#VALUE!</v>
      </c>
      <c r="AO12" s="12" t="e">
        <v>#VALUE!</v>
      </c>
      <c r="AP12" s="12" t="e">
        <v>#VALUE!</v>
      </c>
      <c r="AQ12" s="12" t="e">
        <v>#VALUE!</v>
      </c>
      <c r="AR12" s="12" t="e">
        <v>#VALUE!</v>
      </c>
      <c r="AS12" s="12" t="e">
        <v>#VALUE!</v>
      </c>
      <c r="AT12" s="12" t="e">
        <v>#VALUE!</v>
      </c>
      <c r="AU12" s="12" t="e">
        <v>#VALUE!</v>
      </c>
      <c r="AV12" s="12" t="e">
        <v>#VALUE!</v>
      </c>
      <c r="AW12" s="12" t="e">
        <v>#VALUE!</v>
      </c>
      <c r="AX12" s="12" t="e">
        <v>#VALUE!</v>
      </c>
      <c r="AY12" s="12" t="s">
        <v>415</v>
      </c>
    </row>
    <row r="13" spans="1:51" s="12" customFormat="1">
      <c r="A13" s="9" t="s">
        <v>90</v>
      </c>
      <c r="B13" s="9" t="s">
        <v>98</v>
      </c>
      <c r="C13" s="10" t="s">
        <v>99</v>
      </c>
      <c r="D13" s="10"/>
      <c r="E13" s="9" t="s">
        <v>29</v>
      </c>
      <c r="F13" s="9" t="s">
        <v>30</v>
      </c>
      <c r="G13" s="9" t="s">
        <v>31</v>
      </c>
      <c r="H13" s="9" t="s">
        <v>100</v>
      </c>
      <c r="I13" s="9" t="s">
        <v>101</v>
      </c>
      <c r="J13" s="9">
        <v>0</v>
      </c>
      <c r="K13" s="11">
        <v>10350000</v>
      </c>
      <c r="L13" s="51">
        <v>0</v>
      </c>
      <c r="M13" s="11"/>
      <c r="N13" s="73" t="str">
        <f t="shared" si="0"/>
        <v/>
      </c>
      <c r="O13" s="74" t="str">
        <f t="shared" si="1"/>
        <v/>
      </c>
      <c r="P13" s="73" t="str">
        <f t="shared" si="2"/>
        <v/>
      </c>
      <c r="Q13" s="17"/>
      <c r="R13" s="17"/>
      <c r="S13" s="17"/>
      <c r="T13" s="17"/>
      <c r="U13" s="17"/>
      <c r="V13" s="75" t="str">
        <f>IF($T13&lt;&gt;"معتمد","",IFERROR((IF(AND('قياس الأداء للربع الأول'!$T12="معتمد",'قياس الأداء للربع الأول'!$L12&gt;0),'قياس الأداء للربع الأول'!$M12,0)+IF(AND('قياس الأداء للربع الثاني'!$Q12="معتمد",'قياس الأداء للربع الثاني'!$L12&gt;0),'قياس الأداء للربع الثاني'!$M12,0)+IF(AND('قياس الأداء للربع الثالث'!$T13="معتمد",'قياس الأداء للربع الثالث'!$L13&gt;0),'قياس الأداء للربع الثالث'!$M13,0)+IF(AND($T13="معتمد",$L13&gt;0),$M13,0))/(IF(AND('قياس الأداء للربع الأول'!$T12="معتمد",'قياس الأداء للربع الأول'!$L12&gt;0),'قياس الأداء للربع الأول'!$L12,0)+IF(AND('قياس الأداء للربع الثاني'!$Q12="معتمد",'قياس الأداء للربع الثاني'!$L12&gt;0),'قياس الأداء للربع الثاني'!$L12,0)+IF(AND('قياس الأداء للربع الثالث'!$T13="معتمد",'قياس الأداء للربع الثالث'!$L13&gt;0),'قياس الأداء للربع الثالث'!$L13,0)+IF(AND($T13="معتمد",$L13&gt;0),$L13,0)),""))</f>
        <v/>
      </c>
      <c r="W13" s="75" t="str">
        <f>IF(AND($T13="معتمد",$K13&gt;0),(IF('قياس الأداء للربع الأول'!$T12="معتمد",'قياس الأداء للربع الأول'!$M12,0)+IF('قياس الأداء للربع الثاني'!$Q12="معتمد",'قياس الأداء للربع الثاني'!$M12,0)+IF('قياس الأداء للربع الثالث'!$T13="معتمد",'قياس الأداء للربع الثالث'!$M13,0)+IF($T13="معتمد",$M13,0))/$K13,"")</f>
        <v/>
      </c>
      <c r="X13" s="40" t="str">
        <f t="shared" si="3"/>
        <v>م1م2-1صافي أرباح الاستثماراتريالكلما زاد كان أفضلربع سنويتقرير بإيرادات ومصروفات الإستثمارات الماليةإدارة الإستدامة0103500000</v>
      </c>
      <c r="AB13" s="12" t="e">
        <v>#VALUE!</v>
      </c>
      <c r="AC13" s="12" t="e">
        <v>#VALUE!</v>
      </c>
      <c r="AD13" s="12" t="e">
        <v>#VALUE!</v>
      </c>
      <c r="AE13" s="12" t="e">
        <v>#VALUE!</v>
      </c>
      <c r="AF13" s="12" t="e">
        <v>#VALUE!</v>
      </c>
      <c r="AG13" s="12" t="e">
        <v>#VALUE!</v>
      </c>
      <c r="AH13" s="12" t="e">
        <v>#VALUE!</v>
      </c>
      <c r="AI13" s="12" t="e">
        <v>#VALUE!</v>
      </c>
      <c r="AJ13" s="12" t="e">
        <v>#VALUE!</v>
      </c>
      <c r="AK13" s="12" t="e">
        <v>#VALUE!</v>
      </c>
      <c r="AL13" s="12" t="e">
        <v>#VALUE!</v>
      </c>
      <c r="AM13" s="12" t="e">
        <v>#VALUE!</v>
      </c>
      <c r="AN13" s="12" t="e">
        <v>#VALUE!</v>
      </c>
      <c r="AO13" s="12" t="e">
        <v>#VALUE!</v>
      </c>
      <c r="AP13" s="12" t="e">
        <v>#VALUE!</v>
      </c>
      <c r="AQ13" s="12" t="e">
        <v>#VALUE!</v>
      </c>
      <c r="AR13" s="12" t="e">
        <v>#VALUE!</v>
      </c>
      <c r="AS13" s="12" t="e">
        <v>#VALUE!</v>
      </c>
      <c r="AT13" s="12" t="e">
        <v>#VALUE!</v>
      </c>
      <c r="AU13" s="12" t="e">
        <v>#VALUE!</v>
      </c>
      <c r="AV13" s="12" t="e">
        <v>#VALUE!</v>
      </c>
      <c r="AW13" s="12" t="e">
        <v>#VALUE!</v>
      </c>
      <c r="AX13" s="12" t="e">
        <v>#VALUE!</v>
      </c>
      <c r="AY13" s="12" t="s">
        <v>416</v>
      </c>
    </row>
    <row r="14" spans="1:51" s="12" customFormat="1">
      <c r="A14" s="9" t="s">
        <v>102</v>
      </c>
      <c r="B14" s="9" t="s">
        <v>103</v>
      </c>
      <c r="C14" s="10" t="s">
        <v>104</v>
      </c>
      <c r="D14" s="10"/>
      <c r="E14" s="9" t="s">
        <v>105</v>
      </c>
      <c r="F14" s="9" t="s">
        <v>30</v>
      </c>
      <c r="G14" s="9" t="s">
        <v>31</v>
      </c>
      <c r="H14" s="9" t="s">
        <v>106</v>
      </c>
      <c r="I14" s="9" t="s">
        <v>107</v>
      </c>
      <c r="J14" s="9">
        <v>0</v>
      </c>
      <c r="K14" s="11">
        <v>1</v>
      </c>
      <c r="L14" s="50">
        <v>0</v>
      </c>
      <c r="M14" s="11"/>
      <c r="N14" s="73" t="str">
        <f t="shared" si="0"/>
        <v/>
      </c>
      <c r="O14" s="74" t="str">
        <f t="shared" si="1"/>
        <v/>
      </c>
      <c r="P14" s="73" t="str">
        <f t="shared" si="2"/>
        <v/>
      </c>
      <c r="Q14" s="10"/>
      <c r="R14" s="10"/>
      <c r="S14" s="10"/>
      <c r="T14" s="10"/>
      <c r="U14" s="10"/>
      <c r="V14" s="75" t="str">
        <f>IF($T14&lt;&gt;"معتمد","",IFERROR((IF(AND('قياس الأداء للربع الأول'!$T13="معتمد",'قياس الأداء للربع الأول'!$L13&gt;0),'قياس الأداء للربع الأول'!$M13,0)+IF(AND('قياس الأداء للربع الثاني'!$Q13="معتمد",'قياس الأداء للربع الثاني'!$L13&gt;0),'قياس الأداء للربع الثاني'!$M13,0)+IF(AND('قياس الأداء للربع الثالث'!$T14="معتمد",'قياس الأداء للربع الثالث'!$L14&gt;0),'قياس الأداء للربع الثالث'!$M14,0)+IF(AND($T14="معتمد",$L14&gt;0),$M14,0))/(IF(AND('قياس الأداء للربع الأول'!$T13="معتمد",'قياس الأداء للربع الأول'!$L13&gt;0),'قياس الأداء للربع الأول'!$L13,0)+IF(AND('قياس الأداء للربع الثاني'!$Q13="معتمد",'قياس الأداء للربع الثاني'!$L13&gt;0),'قياس الأداء للربع الثاني'!$L13,0)+IF(AND('قياس الأداء للربع الثالث'!$T14="معتمد",'قياس الأداء للربع الثالث'!$L14&gt;0),'قياس الأداء للربع الثالث'!$L14,0)+IF(AND($T14="معتمد",$L14&gt;0),$L14,0)),""))</f>
        <v/>
      </c>
      <c r="W14" s="75" t="str">
        <f>IF(AND($T14="معتمد",$K14&gt;0),(IF('قياس الأداء للربع الأول'!$T13="معتمد",'قياس الأداء للربع الأول'!$M13,0)+IF('قياس الأداء للربع الثاني'!$Q13="معتمد",'قياس الأداء للربع الثاني'!$M13,0)+IF('قياس الأداء للربع الثالث'!$T14="معتمد",'قياس الأداء للربع الثالث'!$M14,0)+IF($T14="معتمد",$M14,0))/$K14,"")</f>
        <v/>
      </c>
      <c r="X14" s="40" t="str">
        <f t="shared" si="3"/>
        <v>م2م1-2عدد مصادر الدخل (الجديدة)مصدر دخلكلما زاد كان أفضلربع سنويتقرير بمصادر الدخل الجديدة وإيراداتهاإدارة الإتصال المؤسسي010</v>
      </c>
      <c r="AB14" s="12" t="e">
        <v>#VALUE!</v>
      </c>
      <c r="AC14" s="12" t="e">
        <v>#VALUE!</v>
      </c>
      <c r="AD14" s="12" t="e">
        <v>#VALUE!</v>
      </c>
      <c r="AE14" s="12" t="e">
        <v>#VALUE!</v>
      </c>
      <c r="AF14" s="12" t="e">
        <v>#VALUE!</v>
      </c>
      <c r="AG14" s="12" t="e">
        <v>#VALUE!</v>
      </c>
      <c r="AH14" s="12" t="e">
        <v>#VALUE!</v>
      </c>
      <c r="AI14" s="12" t="e">
        <v>#VALUE!</v>
      </c>
      <c r="AJ14" s="12" t="e">
        <v>#VALUE!</v>
      </c>
      <c r="AK14" s="12" t="e">
        <v>#VALUE!</v>
      </c>
      <c r="AL14" s="12" t="e">
        <v>#VALUE!</v>
      </c>
      <c r="AM14" s="12" t="e">
        <v>#VALUE!</v>
      </c>
      <c r="AN14" s="12" t="e">
        <v>#VALUE!</v>
      </c>
      <c r="AO14" s="12" t="e">
        <v>#VALUE!</v>
      </c>
      <c r="AP14" s="12" t="e">
        <v>#VALUE!</v>
      </c>
      <c r="AQ14" s="12" t="e">
        <v>#VALUE!</v>
      </c>
      <c r="AR14" s="12" t="e">
        <v>#VALUE!</v>
      </c>
      <c r="AS14" s="12" t="e">
        <v>#VALUE!</v>
      </c>
      <c r="AT14" s="12" t="e">
        <v>#VALUE!</v>
      </c>
      <c r="AU14" s="12" t="e">
        <v>#VALUE!</v>
      </c>
      <c r="AV14" s="12" t="e">
        <v>#VALUE!</v>
      </c>
      <c r="AW14" s="12" t="e">
        <v>#VALUE!</v>
      </c>
      <c r="AX14" s="12" t="e">
        <v>#VALUE!</v>
      </c>
      <c r="AY14" s="12" t="s">
        <v>417</v>
      </c>
    </row>
    <row r="15" spans="1:51" s="12" customFormat="1">
      <c r="A15" s="9" t="s">
        <v>102</v>
      </c>
      <c r="B15" s="9" t="s">
        <v>109</v>
      </c>
      <c r="C15" s="10" t="s">
        <v>110</v>
      </c>
      <c r="D15" s="10"/>
      <c r="E15" s="9" t="s">
        <v>29</v>
      </c>
      <c r="F15" s="9" t="s">
        <v>30</v>
      </c>
      <c r="G15" s="9" t="s">
        <v>31</v>
      </c>
      <c r="H15" s="9" t="s">
        <v>111</v>
      </c>
      <c r="I15" s="9" t="s">
        <v>107</v>
      </c>
      <c r="J15" s="9">
        <v>0</v>
      </c>
      <c r="K15" s="11">
        <v>50000</v>
      </c>
      <c r="L15" s="50">
        <v>0</v>
      </c>
      <c r="M15" s="11"/>
      <c r="N15" s="73" t="str">
        <f t="shared" si="0"/>
        <v/>
      </c>
      <c r="O15" s="74" t="str">
        <f t="shared" si="1"/>
        <v/>
      </c>
      <c r="P15" s="73" t="str">
        <f t="shared" si="2"/>
        <v/>
      </c>
      <c r="Q15" s="10"/>
      <c r="R15" s="10"/>
      <c r="S15" s="10"/>
      <c r="T15" s="10"/>
      <c r="U15" s="10"/>
      <c r="V15" s="75" t="str">
        <f>IF($T15&lt;&gt;"معتمد","",IFERROR((IF(AND('قياس الأداء للربع الأول'!$T14="معتمد",'قياس الأداء للربع الأول'!$L14&gt;0),'قياس الأداء للربع الأول'!$M14,0)+IF(AND('قياس الأداء للربع الثاني'!$Q14="معتمد",'قياس الأداء للربع الثاني'!$L14&gt;0),'قياس الأداء للربع الثاني'!$M14,0)+IF(AND('قياس الأداء للربع الثالث'!$T15="معتمد",'قياس الأداء للربع الثالث'!$L15&gt;0),'قياس الأداء للربع الثالث'!$M15,0)+IF(AND($T15="معتمد",$L15&gt;0),$M15,0))/(IF(AND('قياس الأداء للربع الأول'!$T14="معتمد",'قياس الأداء للربع الأول'!$L14&gt;0),'قياس الأداء للربع الأول'!$L14,0)+IF(AND('قياس الأداء للربع الثاني'!$Q14="معتمد",'قياس الأداء للربع الثاني'!$L14&gt;0),'قياس الأداء للربع الثاني'!$L14,0)+IF(AND('قياس الأداء للربع الثالث'!$T15="معتمد",'قياس الأداء للربع الثالث'!$L15&gt;0),'قياس الأداء للربع الثالث'!$L15,0)+IF(AND($T15="معتمد",$L15&gt;0),$L15,0)),""))</f>
        <v/>
      </c>
      <c r="W15" s="75" t="str">
        <f>IF(AND($T15="معتمد",$K15&gt;0),(IF('قياس الأداء للربع الأول'!$T14="معتمد",'قياس الأداء للربع الأول'!$M14,0)+IF('قياس الأداء للربع الثاني'!$Q14="معتمد",'قياس الأداء للربع الثاني'!$M14,0)+IF('قياس الأداء للربع الثالث'!$T15="معتمد",'قياس الأداء للربع الثالث'!$M15,0)+IF($T15="معتمد",$M15,0))/$K15,"")</f>
        <v/>
      </c>
      <c r="X15" s="40" t="str">
        <f t="shared" si="3"/>
        <v>م2م2-2إجمالي الإيرادات من مصادر الدخل الجديدةريالكلما زاد كان أفضلربع سنويتقرير مالي بالإيرادات المالية للجمعيةإدارة الإتصال المؤسسي0500000</v>
      </c>
      <c r="AB15" s="12" t="e">
        <v>#VALUE!</v>
      </c>
      <c r="AC15" s="12" t="e">
        <v>#VALUE!</v>
      </c>
      <c r="AD15" s="12" t="e">
        <v>#VALUE!</v>
      </c>
      <c r="AE15" s="12" t="e">
        <v>#VALUE!</v>
      </c>
      <c r="AF15" s="12" t="e">
        <v>#VALUE!</v>
      </c>
      <c r="AG15" s="12" t="e">
        <v>#VALUE!</v>
      </c>
      <c r="AH15" s="12" t="e">
        <v>#VALUE!</v>
      </c>
      <c r="AI15" s="12" t="e">
        <v>#VALUE!</v>
      </c>
      <c r="AJ15" s="12" t="e">
        <v>#VALUE!</v>
      </c>
      <c r="AK15" s="12" t="e">
        <v>#VALUE!</v>
      </c>
      <c r="AL15" s="12" t="e">
        <v>#VALUE!</v>
      </c>
      <c r="AM15" s="12" t="e">
        <v>#VALUE!</v>
      </c>
      <c r="AN15" s="12" t="e">
        <v>#VALUE!</v>
      </c>
      <c r="AO15" s="12" t="e">
        <v>#VALUE!</v>
      </c>
      <c r="AP15" s="12" t="e">
        <v>#VALUE!</v>
      </c>
      <c r="AQ15" s="12" t="e">
        <v>#VALUE!</v>
      </c>
      <c r="AR15" s="12" t="e">
        <v>#VALUE!</v>
      </c>
      <c r="AS15" s="12" t="e">
        <v>#VALUE!</v>
      </c>
      <c r="AT15" s="12" t="e">
        <v>#VALUE!</v>
      </c>
      <c r="AU15" s="12" t="e">
        <v>#VALUE!</v>
      </c>
      <c r="AV15" s="12" t="e">
        <v>#VALUE!</v>
      </c>
      <c r="AW15" s="12" t="e">
        <v>#VALUE!</v>
      </c>
      <c r="AX15" s="12" t="e">
        <v>#VALUE!</v>
      </c>
      <c r="AY15" s="12" t="s">
        <v>418</v>
      </c>
    </row>
    <row r="16" spans="1:51" s="12" customFormat="1">
      <c r="A16" s="9" t="s">
        <v>102</v>
      </c>
      <c r="B16" s="9" t="s">
        <v>112</v>
      </c>
      <c r="C16" s="10" t="s">
        <v>113</v>
      </c>
      <c r="D16" s="10"/>
      <c r="E16" s="9" t="s">
        <v>29</v>
      </c>
      <c r="F16" s="9" t="s">
        <v>30</v>
      </c>
      <c r="G16" s="9" t="s">
        <v>31</v>
      </c>
      <c r="H16" s="9" t="s">
        <v>114</v>
      </c>
      <c r="I16" s="9" t="s">
        <v>107</v>
      </c>
      <c r="J16" s="9">
        <v>0</v>
      </c>
      <c r="K16" s="18">
        <v>0</v>
      </c>
      <c r="L16" s="50">
        <v>0</v>
      </c>
      <c r="M16" s="18"/>
      <c r="N16" s="73" t="str">
        <f t="shared" si="0"/>
        <v/>
      </c>
      <c r="O16" s="78" t="str">
        <f t="shared" si="1"/>
        <v/>
      </c>
      <c r="P16" s="79" t="str">
        <f t="shared" si="2"/>
        <v/>
      </c>
      <c r="Q16" s="9"/>
      <c r="R16" s="9"/>
      <c r="S16" s="9"/>
      <c r="T16" s="9"/>
      <c r="U16" s="9"/>
      <c r="V16" s="75" t="str">
        <f>IF($T16&lt;&gt;"معتمد","",IFERROR((IF(AND('قياس الأداء للربع الأول'!$T15="معتمد",'قياس الأداء للربع الأول'!$L15&gt;0),'قياس الأداء للربع الأول'!$M15,0)+IF(AND('قياس الأداء للربع الثاني'!$Q15="معتمد",'قياس الأداء للربع الثاني'!$L15&gt;0),'قياس الأداء للربع الثاني'!$M15,0)+IF(AND('قياس الأداء للربع الثالث'!$T16="معتمد",'قياس الأداء للربع الثالث'!$L16&gt;0),'قياس الأداء للربع الثالث'!$M16,0)+IF(AND($T16="معتمد",$L16&gt;0),$M16,0))/(IF(AND('قياس الأداء للربع الأول'!$T15="معتمد",'قياس الأداء للربع الأول'!$L15&gt;0),'قياس الأداء للربع الأول'!$L15,0)+IF(AND('قياس الأداء للربع الثاني'!$Q15="معتمد",'قياس الأداء للربع الثاني'!$L15&gt;0),'قياس الأداء للربع الثاني'!$L15,0)+IF(AND('قياس الأداء للربع الثالث'!$T16="معتمد",'قياس الأداء للربع الثالث'!$L16&gt;0),'قياس الأداء للربع الثالث'!$L16,0)+IF(AND($T16="معتمد",$L16&gt;0),$L16,0)),""))</f>
        <v/>
      </c>
      <c r="W16" s="75" t="str">
        <f>IF(AND($T16="معتمد",$K16&gt;0),(IF('قياس الأداء للربع الأول'!$T15="معتمد",'قياس الأداء للربع الأول'!$M15,0)+IF('قياس الأداء للربع الثاني'!$Q15="معتمد",'قياس الأداء للربع الثاني'!$M15,0)+IF('قياس الأداء للربع الثالث'!$T16="معتمد",'قياس الأداء للربع الثالث'!$M16,0)+IF($T16="معتمد",$M16,0))/$K16,"")</f>
        <v/>
      </c>
      <c r="X16" s="40" t="str">
        <f t="shared" si="3"/>
        <v>م2م3-2إجمالي التبرعاتريالكلما زاد كان أفضلربع سنويتقرير مالي بالتبرعات في الفترة الحالية والفترة السابقةإدارة الإتصال المؤسسي000</v>
      </c>
      <c r="AB16" s="12" t="e">
        <v>#VALUE!</v>
      </c>
      <c r="AC16" s="12" t="e">
        <v>#VALUE!</v>
      </c>
      <c r="AD16" s="12" t="e">
        <v>#VALUE!</v>
      </c>
      <c r="AE16" s="12" t="e">
        <v>#VALUE!</v>
      </c>
      <c r="AF16" s="12" t="e">
        <v>#VALUE!</v>
      </c>
      <c r="AG16" s="12" t="e">
        <v>#VALUE!</v>
      </c>
      <c r="AH16" s="12" t="e">
        <v>#VALUE!</v>
      </c>
      <c r="AI16" s="12" t="e">
        <v>#VALUE!</v>
      </c>
      <c r="AJ16" s="12" t="e">
        <v>#VALUE!</v>
      </c>
      <c r="AK16" s="12" t="e">
        <v>#VALUE!</v>
      </c>
      <c r="AL16" s="12" t="e">
        <v>#VALUE!</v>
      </c>
      <c r="AM16" s="12" t="e">
        <v>#VALUE!</v>
      </c>
      <c r="AN16" s="12" t="e">
        <v>#VALUE!</v>
      </c>
      <c r="AO16" s="12" t="e">
        <v>#VALUE!</v>
      </c>
      <c r="AP16" s="12" t="e">
        <v>#VALUE!</v>
      </c>
      <c r="AQ16" s="12" t="e">
        <v>#VALUE!</v>
      </c>
      <c r="AR16" s="12" t="e">
        <v>#VALUE!</v>
      </c>
      <c r="AS16" s="12" t="e">
        <v>#VALUE!</v>
      </c>
      <c r="AT16" s="12" t="e">
        <v>#VALUE!</v>
      </c>
      <c r="AU16" s="12" t="e">
        <v>#VALUE!</v>
      </c>
      <c r="AV16" s="12" t="e">
        <v>#VALUE!</v>
      </c>
      <c r="AW16" s="12" t="e">
        <v>#VALUE!</v>
      </c>
      <c r="AX16" s="12" t="e">
        <v>#VALUE!</v>
      </c>
      <c r="AY16" s="12" t="s">
        <v>419</v>
      </c>
    </row>
    <row r="17" spans="1:51" s="12" customFormat="1">
      <c r="A17" s="9" t="s">
        <v>116</v>
      </c>
      <c r="B17" s="9" t="s">
        <v>117</v>
      </c>
      <c r="C17" s="10" t="s">
        <v>118</v>
      </c>
      <c r="D17" s="10"/>
      <c r="E17" s="9" t="s">
        <v>119</v>
      </c>
      <c r="F17" s="9" t="s">
        <v>30</v>
      </c>
      <c r="G17" s="9" t="s">
        <v>31</v>
      </c>
      <c r="H17" s="9" t="s">
        <v>120</v>
      </c>
      <c r="I17" s="9" t="s">
        <v>121</v>
      </c>
      <c r="J17" s="9">
        <v>0</v>
      </c>
      <c r="K17" s="18">
        <v>14</v>
      </c>
      <c r="L17" s="51">
        <v>3</v>
      </c>
      <c r="M17" s="18"/>
      <c r="N17" s="73" t="str">
        <f t="shared" si="0"/>
        <v/>
      </c>
      <c r="O17" s="78" t="str">
        <f t="shared" si="1"/>
        <v/>
      </c>
      <c r="P17" s="79" t="str">
        <f t="shared" si="2"/>
        <v/>
      </c>
      <c r="Q17" s="9"/>
      <c r="R17" s="9"/>
      <c r="S17" s="9"/>
      <c r="T17" s="9"/>
      <c r="U17" s="9"/>
      <c r="V17" s="75" t="str">
        <f>IF($T17&lt;&gt;"معتمد","",IFERROR((IF(AND('قياس الأداء للربع الأول'!$T16="معتمد",'قياس الأداء للربع الأول'!$L16&gt;0),'قياس الأداء للربع الأول'!$M16,0)+IF(AND('قياس الأداء للربع الثاني'!$Q16="معتمد",'قياس الأداء للربع الثاني'!$L16&gt;0),'قياس الأداء للربع الثاني'!$M16,0)+IF(AND('قياس الأداء للربع الثالث'!$T17="معتمد",'قياس الأداء للربع الثالث'!$L17&gt;0),'قياس الأداء للربع الثالث'!$M17,0)+IF(AND($T17="معتمد",$L17&gt;0),$M17,0))/(IF(AND('قياس الأداء للربع الأول'!$T16="معتمد",'قياس الأداء للربع الأول'!$L16&gt;0),'قياس الأداء للربع الأول'!$L16,0)+IF(AND('قياس الأداء للربع الثاني'!$Q16="معتمد",'قياس الأداء للربع الثاني'!$L16&gt;0),'قياس الأداء للربع الثاني'!$L16,0)+IF(AND('قياس الأداء للربع الثالث'!$T17="معتمد",'قياس الأداء للربع الثالث'!$L17&gt;0),'قياس الأداء للربع الثالث'!$L17,0)+IF(AND($T17="معتمد",$L17&gt;0),$L17,0)),""))</f>
        <v/>
      </c>
      <c r="W17" s="75" t="str">
        <f>IF(AND($T17="معتمد",$K17&gt;0),(IF('قياس الأداء للربع الأول'!$T16="معتمد",'قياس الأداء للربع الأول'!$M16,0)+IF('قياس الأداء للربع الثاني'!$Q16="معتمد",'قياس الأداء للربع الثاني'!$M16,0)+IF('قياس الأداء للربع الثالث'!$T17="معتمد",'قياس الأداء للربع الثالث'!$M17,0)+IF($T17="معتمد",$M17,0))/$K17,"")</f>
        <v/>
      </c>
      <c r="X17" s="40" t="str">
        <f t="shared" si="3"/>
        <v>د1د1-1عدد البرامج المبتكرة التي تم  تصميمهابرامجكلما زاد كان أفضلربع سنويقائمة بالبرامج التي صممتها الجمعيةإدارة الرعاية و التمكين،إدارة التكافل المجتمعي0143</v>
      </c>
      <c r="AB17" s="12" t="e">
        <v>#VALUE!</v>
      </c>
      <c r="AC17" s="12" t="e">
        <v>#VALUE!</v>
      </c>
      <c r="AD17" s="12" t="e">
        <v>#VALUE!</v>
      </c>
      <c r="AE17" s="12" t="e">
        <v>#VALUE!</v>
      </c>
      <c r="AF17" s="12" t="e">
        <v>#VALUE!</v>
      </c>
      <c r="AG17" s="12" t="e">
        <v>#VALUE!</v>
      </c>
      <c r="AH17" s="12" t="e">
        <v>#VALUE!</v>
      </c>
      <c r="AI17" s="12" t="e">
        <v>#VALUE!</v>
      </c>
      <c r="AJ17" s="12" t="e">
        <v>#VALUE!</v>
      </c>
      <c r="AK17" s="12" t="e">
        <v>#VALUE!</v>
      </c>
      <c r="AL17" s="12" t="e">
        <v>#VALUE!</v>
      </c>
      <c r="AM17" s="12" t="e">
        <v>#VALUE!</v>
      </c>
      <c r="AN17" s="12" t="e">
        <v>#VALUE!</v>
      </c>
      <c r="AO17" s="12" t="e">
        <v>#VALUE!</v>
      </c>
      <c r="AP17" s="12" t="e">
        <v>#VALUE!</v>
      </c>
      <c r="AQ17" s="12" t="e">
        <v>#VALUE!</v>
      </c>
      <c r="AR17" s="12" t="e">
        <v>#VALUE!</v>
      </c>
      <c r="AS17" s="12" t="e">
        <v>#VALUE!</v>
      </c>
      <c r="AT17" s="12" t="e">
        <v>#VALUE!</v>
      </c>
      <c r="AU17" s="12" t="e">
        <v>#VALUE!</v>
      </c>
      <c r="AV17" s="12" t="e">
        <v>#VALUE!</v>
      </c>
      <c r="AW17" s="12" t="e">
        <v>#VALUE!</v>
      </c>
      <c r="AX17" s="12" t="e">
        <v>#VALUE!</v>
      </c>
      <c r="AY17" s="12" t="s">
        <v>420</v>
      </c>
    </row>
    <row r="18" spans="1:51" s="12" customFormat="1">
      <c r="A18" s="9" t="s">
        <v>116</v>
      </c>
      <c r="B18" s="9" t="s">
        <v>125</v>
      </c>
      <c r="C18" s="10" t="s">
        <v>126</v>
      </c>
      <c r="D18" s="10"/>
      <c r="E18" s="9" t="s">
        <v>127</v>
      </c>
      <c r="F18" s="9" t="s">
        <v>30</v>
      </c>
      <c r="G18" s="9" t="s">
        <v>31</v>
      </c>
      <c r="H18" s="9" t="s">
        <v>128</v>
      </c>
      <c r="I18" s="9" t="s">
        <v>121</v>
      </c>
      <c r="J18" s="9">
        <v>0</v>
      </c>
      <c r="K18" s="18">
        <v>18</v>
      </c>
      <c r="L18" s="51">
        <v>3</v>
      </c>
      <c r="M18" s="18"/>
      <c r="N18" s="73" t="str">
        <f t="shared" si="0"/>
        <v/>
      </c>
      <c r="O18" s="78" t="str">
        <f t="shared" si="1"/>
        <v/>
      </c>
      <c r="P18" s="79" t="str">
        <f t="shared" si="2"/>
        <v/>
      </c>
      <c r="Q18" s="9"/>
      <c r="R18" s="9"/>
      <c r="S18" s="9"/>
      <c r="T18" s="9"/>
      <c r="U18" s="9"/>
      <c r="V18" s="75" t="str">
        <f>IF($T18&lt;&gt;"معتمد","",IFERROR((IF(AND('قياس الأداء للربع الأول'!$T17="معتمد",'قياس الأداء للربع الأول'!$L17&gt;0),'قياس الأداء للربع الأول'!$M17,0)+IF(AND('قياس الأداء للربع الثاني'!$Q17="معتمد",'قياس الأداء للربع الثاني'!$L17&gt;0),'قياس الأداء للربع الثاني'!$M17,0)+IF(AND('قياس الأداء للربع الثالث'!$T18="معتمد",'قياس الأداء للربع الثالث'!$L18&gt;0),'قياس الأداء للربع الثالث'!$M18,0)+IF(AND($T18="معتمد",$L18&gt;0),$M18,0))/(IF(AND('قياس الأداء للربع الأول'!$T17="معتمد",'قياس الأداء للربع الأول'!$L17&gt;0),'قياس الأداء للربع الأول'!$L17,0)+IF(AND('قياس الأداء للربع الثاني'!$Q17="معتمد",'قياس الأداء للربع الثاني'!$L17&gt;0),'قياس الأداء للربع الثاني'!$L17,0)+IF(AND('قياس الأداء للربع الثالث'!$T18="معتمد",'قياس الأداء للربع الثالث'!$L18&gt;0),'قياس الأداء للربع الثالث'!$L18,0)+IF(AND($T18="معتمد",$L18&gt;0),$L18,0)),""))</f>
        <v/>
      </c>
      <c r="W18" s="75" t="str">
        <f>IF(AND($T18="معتمد",$K18&gt;0),(IF('قياس الأداء للربع الأول'!$T17="معتمد",'قياس الأداء للربع الأول'!$M17,0)+IF('قياس الأداء للربع الثاني'!$Q17="معتمد",'قياس الأداء للربع الثاني'!$M17,0)+IF('قياس الأداء للربع الثالث'!$T18="معتمد",'قياس الأداء للربع الثالث'!$M18,0)+IF($T18="معتمد",$M18,0))/$K18,"")</f>
        <v/>
      </c>
      <c r="X18" s="40" t="str">
        <f t="shared" si="3"/>
        <v>د1د2-1عدد الخدمات المبتكرة التي تم تصميمهاخدمةكلما زاد كان أفضلربع سنويقائمة بالخدمات التي صممتها الجمعيةإدارة الرعاية و التمكين،إدارة التكافل المجتمعي0183</v>
      </c>
      <c r="AB18" s="12" t="e">
        <v>#VALUE!</v>
      </c>
      <c r="AC18" s="12" t="e">
        <v>#VALUE!</v>
      </c>
      <c r="AD18" s="12" t="e">
        <v>#VALUE!</v>
      </c>
      <c r="AE18" s="12" t="e">
        <v>#VALUE!</v>
      </c>
      <c r="AF18" s="12" t="e">
        <v>#VALUE!</v>
      </c>
      <c r="AG18" s="12" t="e">
        <v>#VALUE!</v>
      </c>
      <c r="AH18" s="12" t="e">
        <v>#VALUE!</v>
      </c>
      <c r="AI18" s="12" t="e">
        <v>#VALUE!</v>
      </c>
      <c r="AJ18" s="12" t="e">
        <v>#VALUE!</v>
      </c>
      <c r="AK18" s="12" t="e">
        <v>#VALUE!</v>
      </c>
      <c r="AL18" s="12" t="e">
        <v>#VALUE!</v>
      </c>
      <c r="AM18" s="12" t="e">
        <v>#VALUE!</v>
      </c>
      <c r="AN18" s="12" t="e">
        <v>#VALUE!</v>
      </c>
      <c r="AO18" s="12" t="e">
        <v>#VALUE!</v>
      </c>
      <c r="AP18" s="12" t="e">
        <v>#VALUE!</v>
      </c>
      <c r="AQ18" s="12" t="e">
        <v>#VALUE!</v>
      </c>
      <c r="AR18" s="12" t="e">
        <v>#VALUE!</v>
      </c>
      <c r="AS18" s="12" t="e">
        <v>#VALUE!</v>
      </c>
      <c r="AT18" s="12" t="e">
        <v>#VALUE!</v>
      </c>
      <c r="AU18" s="12" t="e">
        <v>#VALUE!</v>
      </c>
      <c r="AV18" s="12" t="e">
        <v>#VALUE!</v>
      </c>
      <c r="AW18" s="12" t="e">
        <v>#VALUE!</v>
      </c>
      <c r="AX18" s="12" t="e">
        <v>#VALUE!</v>
      </c>
      <c r="AY18" s="12" t="s">
        <v>421</v>
      </c>
    </row>
    <row r="19" spans="1:51" s="12" customFormat="1">
      <c r="A19" s="9" t="s">
        <v>132</v>
      </c>
      <c r="B19" s="9" t="s">
        <v>133</v>
      </c>
      <c r="C19" s="10" t="s">
        <v>134</v>
      </c>
      <c r="D19" s="10"/>
      <c r="E19" s="9" t="s">
        <v>37</v>
      </c>
      <c r="F19" s="9" t="s">
        <v>30</v>
      </c>
      <c r="G19" s="9" t="s">
        <v>31</v>
      </c>
      <c r="H19" s="9" t="s">
        <v>135</v>
      </c>
      <c r="I19" s="9" t="s">
        <v>94</v>
      </c>
      <c r="J19" s="9">
        <v>0</v>
      </c>
      <c r="K19" s="11">
        <v>0.85</v>
      </c>
      <c r="L19" s="50">
        <v>0.8</v>
      </c>
      <c r="M19" s="11"/>
      <c r="N19" s="73" t="str">
        <f t="shared" si="0"/>
        <v/>
      </c>
      <c r="O19" s="74" t="str">
        <f t="shared" si="1"/>
        <v/>
      </c>
      <c r="P19" s="73" t="str">
        <f t="shared" si="2"/>
        <v/>
      </c>
      <c r="Q19" s="13"/>
      <c r="R19" s="13"/>
      <c r="S19" s="13"/>
      <c r="T19" s="13"/>
      <c r="U19" s="13"/>
      <c r="V19" s="75" t="str">
        <f>IF($T19&lt;&gt;"معتمد","",IFERROR((IF(AND('قياس الأداء للربع الأول'!$T18="معتمد",'قياس الأداء للربع الأول'!$L18&gt;0),'قياس الأداء للربع الأول'!$M18,0)+IF(AND('قياس الأداء للربع الثاني'!$Q18="معتمد",'قياس الأداء للربع الثاني'!$L18&gt;0),'قياس الأداء للربع الثاني'!$M18,0)+IF(AND('قياس الأداء للربع الثالث'!$T19="معتمد",'قياس الأداء للربع الثالث'!$L19&gt;0),'قياس الأداء للربع الثالث'!$M19,0)+IF(AND($T19="معتمد",$L19&gt;0),$M19,0))/(IF(AND('قياس الأداء للربع الأول'!$T18="معتمد",'قياس الأداء للربع الأول'!$L18&gt;0),'قياس الأداء للربع الأول'!$L18,0)+IF(AND('قياس الأداء للربع الثاني'!$Q18="معتمد",'قياس الأداء للربع الثاني'!$L18&gt;0),'قياس الأداء للربع الثاني'!$L18,0)+IF(AND('قياس الأداء للربع الثالث'!$T19="معتمد",'قياس الأداء للربع الثالث'!$L19&gt;0),'قياس الأداء للربع الثالث'!$L19,0)+IF(AND($T19="معتمد",$L19&gt;0),$L19,0)),""))</f>
        <v/>
      </c>
      <c r="W19" s="75" t="str">
        <f>IF(AND($T19="معتمد",$K19&gt;0),(IF('قياس الأداء للربع الأول'!$T18="معتمد",'قياس الأداء للربع الأول'!$M18,0)+IF('قياس الأداء للربع الثاني'!$Q18="معتمد",'قياس الأداء للربع الثاني'!$M18,0)+IF('قياس الأداء للربع الثالث'!$T19="معتمد",'قياس الأداء للربع الثالث'!$M19,0)+IF($T19="معتمد",$M19,0))/$K19,"")</f>
        <v/>
      </c>
      <c r="X19" s="40" t="str">
        <f t="shared" si="3"/>
        <v>د2د1-2نسبة مصاريف البرامج والأنشطة إلى إجمالي المصاريفنسبةكلما زاد كان أفضلربع سنويتقرير مالي موضح فيه جميع المصروفات (المصروفات الإدارية والعمومية، مصروفات النشاط)إدارة الشؤون المالية و الإدارية00.850.8</v>
      </c>
      <c r="AB19" s="12" t="e">
        <v>#VALUE!</v>
      </c>
      <c r="AC19" s="12" t="e">
        <v>#VALUE!</v>
      </c>
      <c r="AD19" s="12" t="e">
        <v>#VALUE!</v>
      </c>
      <c r="AE19" s="12" t="e">
        <v>#VALUE!</v>
      </c>
      <c r="AF19" s="12" t="e">
        <v>#VALUE!</v>
      </c>
      <c r="AG19" s="12" t="e">
        <v>#VALUE!</v>
      </c>
      <c r="AH19" s="12" t="e">
        <v>#VALUE!</v>
      </c>
      <c r="AI19" s="12" t="e">
        <v>#VALUE!</v>
      </c>
      <c r="AJ19" s="12" t="e">
        <v>#VALUE!</v>
      </c>
      <c r="AK19" s="12" t="e">
        <v>#VALUE!</v>
      </c>
      <c r="AL19" s="12" t="e">
        <v>#VALUE!</v>
      </c>
      <c r="AM19" s="12" t="e">
        <v>#VALUE!</v>
      </c>
      <c r="AN19" s="12" t="e">
        <v>#VALUE!</v>
      </c>
      <c r="AO19" s="12" t="e">
        <v>#VALUE!</v>
      </c>
      <c r="AP19" s="12" t="e">
        <v>#VALUE!</v>
      </c>
      <c r="AQ19" s="12" t="e">
        <v>#VALUE!</v>
      </c>
      <c r="AR19" s="12" t="e">
        <v>#VALUE!</v>
      </c>
      <c r="AS19" s="12" t="e">
        <v>#VALUE!</v>
      </c>
      <c r="AT19" s="12" t="e">
        <v>#VALUE!</v>
      </c>
      <c r="AU19" s="12" t="e">
        <v>#VALUE!</v>
      </c>
      <c r="AV19" s="12" t="e">
        <v>#VALUE!</v>
      </c>
      <c r="AW19" s="12" t="e">
        <v>#VALUE!</v>
      </c>
      <c r="AX19" s="12" t="e">
        <v>#VALUE!</v>
      </c>
      <c r="AY19" s="12" t="s">
        <v>422</v>
      </c>
    </row>
    <row r="20" spans="1:51" s="12" customFormat="1">
      <c r="A20" s="9" t="s">
        <v>132</v>
      </c>
      <c r="B20" s="9" t="s">
        <v>136</v>
      </c>
      <c r="C20" s="10" t="s">
        <v>137</v>
      </c>
      <c r="D20" s="10"/>
      <c r="E20" s="9" t="s">
        <v>138</v>
      </c>
      <c r="F20" s="9" t="s">
        <v>30</v>
      </c>
      <c r="G20" s="9" t="s">
        <v>31</v>
      </c>
      <c r="H20" s="9" t="s">
        <v>139</v>
      </c>
      <c r="I20" s="9" t="s">
        <v>140</v>
      </c>
      <c r="J20" s="9">
        <v>0</v>
      </c>
      <c r="K20" s="11">
        <v>1</v>
      </c>
      <c r="L20" s="50">
        <v>0</v>
      </c>
      <c r="M20" s="11"/>
      <c r="N20" s="73" t="str">
        <f t="shared" si="0"/>
        <v/>
      </c>
      <c r="O20" s="74" t="str">
        <f t="shared" si="1"/>
        <v/>
      </c>
      <c r="P20" s="73" t="str">
        <f t="shared" si="2"/>
        <v/>
      </c>
      <c r="Q20" s="13"/>
      <c r="R20" s="13"/>
      <c r="S20" s="13"/>
      <c r="T20" s="13"/>
      <c r="U20" s="13"/>
      <c r="V20" s="75" t="str">
        <f>IF($T20&lt;&gt;"معتمد","",IFERROR((IF(AND('قياس الأداء للربع الأول'!$T19="معتمد",'قياس الأداء للربع الأول'!$L19&gt;0),'قياس الأداء للربع الأول'!$M19,0)+IF(AND('قياس الأداء للربع الثاني'!$Q19="معتمد",'قياس الأداء للربع الثاني'!$L19&gt;0),'قياس الأداء للربع الثاني'!$M19,0)+IF(AND('قياس الأداء للربع الثالث'!$T20="معتمد",'قياس الأداء للربع الثالث'!$L20&gt;0),'قياس الأداء للربع الثالث'!$M20,0)+IF(AND($T20="معتمد",$L20&gt;0),$M20,0))/(IF(AND('قياس الأداء للربع الأول'!$T19="معتمد",'قياس الأداء للربع الأول'!$L19&gt;0),'قياس الأداء للربع الأول'!$L19,0)+IF(AND('قياس الأداء للربع الثاني'!$Q19="معتمد",'قياس الأداء للربع الثاني'!$L19&gt;0),'قياس الأداء للربع الثاني'!$L19,0)+IF(AND('قياس الأداء للربع الثالث'!$T20="معتمد",'قياس الأداء للربع الثالث'!$L20&gt;0),'قياس الأداء للربع الثالث'!$L20,0)+IF(AND($T20="معتمد",$L20&gt;0),$L20,0)),""))</f>
        <v/>
      </c>
      <c r="W20" s="75" t="str">
        <f>IF(AND($T20="معتمد",$K20&gt;0),(IF('قياس الأداء للربع الأول'!$T19="معتمد",'قياس الأداء للربع الأول'!$M19,0)+IF('قياس الأداء للربع الثاني'!$Q19="معتمد",'قياس الأداء للربع الثاني'!$M19,0)+IF('قياس الأداء للربع الثالث'!$T20="معتمد",'قياس الأداء للربع الثالث'!$M20,0)+IF($T20="معتمد",$M20,0))/$K20,"")</f>
        <v/>
      </c>
      <c r="X20" s="40" t="str">
        <f t="shared" si="3"/>
        <v>د2د2-2عدد العمليات التي تم تجويدها (تطويرها)عمليةكلما زاد كان أفضلربع سنويقائمة بالعمليات المطورة وبيان التطوير الذي تم عليها وتاريخ التطوير والإعتمادإدارة الشؤون المالية و الإدارية،إدارة الأداء و النمو010</v>
      </c>
    </row>
    <row r="21" spans="1:51" s="12" customFormat="1">
      <c r="A21" s="9" t="s">
        <v>141</v>
      </c>
      <c r="B21" s="9" t="s">
        <v>142</v>
      </c>
      <c r="C21" s="10" t="s">
        <v>143</v>
      </c>
      <c r="D21" s="10"/>
      <c r="E21" s="9" t="s">
        <v>37</v>
      </c>
      <c r="F21" s="9" t="s">
        <v>30</v>
      </c>
      <c r="G21" s="9" t="s">
        <v>31</v>
      </c>
      <c r="H21" s="9" t="s">
        <v>144</v>
      </c>
      <c r="I21" s="9" t="s">
        <v>94</v>
      </c>
      <c r="J21" s="9">
        <v>0</v>
      </c>
      <c r="K21" s="11">
        <v>1</v>
      </c>
      <c r="L21" s="50">
        <v>0.95</v>
      </c>
      <c r="M21" s="11"/>
      <c r="N21" s="73" t="str">
        <f t="shared" si="0"/>
        <v/>
      </c>
      <c r="O21" s="74" t="str">
        <f t="shared" si="1"/>
        <v/>
      </c>
      <c r="P21" s="73" t="str">
        <f t="shared" si="2"/>
        <v/>
      </c>
      <c r="Q21" s="13"/>
      <c r="R21" s="13"/>
      <c r="S21" s="13"/>
      <c r="T21" s="13"/>
      <c r="U21" s="13"/>
      <c r="V21" s="75" t="str">
        <f>IF($T21&lt;&gt;"معتمد","",IFERROR((IF(AND('قياس الأداء للربع الأول'!$T20="معتمد",'قياس الأداء للربع الأول'!$L20&gt;0),'قياس الأداء للربع الأول'!$M20,0)+IF(AND('قياس الأداء للربع الثاني'!$Q20="معتمد",'قياس الأداء للربع الثاني'!$L20&gt;0),'قياس الأداء للربع الثاني'!$M20,0)+IF(AND('قياس الأداء للربع الثالث'!$T21="معتمد",'قياس الأداء للربع الثالث'!$L21&gt;0),'قياس الأداء للربع الثالث'!$M21,0)+IF(AND($T21="معتمد",$L21&gt;0),$M21,0))/(IF(AND('قياس الأداء للربع الأول'!$T20="معتمد",'قياس الأداء للربع الأول'!$L20&gt;0),'قياس الأداء للربع الأول'!$L20,0)+IF(AND('قياس الأداء للربع الثاني'!$Q20="معتمد",'قياس الأداء للربع الثاني'!$L20&gt;0),'قياس الأداء للربع الثاني'!$L20,0)+IF(AND('قياس الأداء للربع الثالث'!$T21="معتمد",'قياس الأداء للربع الثالث'!$L21&gt;0),'قياس الأداء للربع الثالث'!$L21,0)+IF(AND($T21="معتمد",$L21&gt;0),$L21,0)),""))</f>
        <v/>
      </c>
      <c r="W21" s="75" t="str">
        <f>IF(AND($T21="معتمد",$K21&gt;0),(IF('قياس الأداء للربع الأول'!$T20="معتمد",'قياس الأداء للربع الأول'!$M20,0)+IF('قياس الأداء للربع الثاني'!$Q20="معتمد",'قياس الأداء للربع الثاني'!$M20,0)+IF('قياس الأداء للربع الثالث'!$T21="معتمد",'قياس الأداء للربع الثالث'!$M21,0)+IF($T21="معتمد",$M21,0))/$K21,"")</f>
        <v/>
      </c>
      <c r="X21" s="40" t="str">
        <f t="shared" si="3"/>
        <v>د3د1-3نسبة نضج واستدامة البيئة التقنيةنسبةكلما زاد كان أفضلربع سنويتقرير بالعملياتإدارة الشؤون المالية و الإدارية010.95</v>
      </c>
    </row>
    <row r="22" spans="1:51" s="12" customFormat="1">
      <c r="A22" s="9" t="s">
        <v>141</v>
      </c>
      <c r="B22" s="9" t="s">
        <v>145</v>
      </c>
      <c r="C22" s="10" t="s">
        <v>146</v>
      </c>
      <c r="D22" s="10"/>
      <c r="E22" s="9" t="s">
        <v>37</v>
      </c>
      <c r="F22" s="9" t="s">
        <v>30</v>
      </c>
      <c r="G22" s="9" t="s">
        <v>31</v>
      </c>
      <c r="H22" s="9" t="s">
        <v>144</v>
      </c>
      <c r="I22" s="9" t="s">
        <v>94</v>
      </c>
      <c r="J22" s="9">
        <v>0</v>
      </c>
      <c r="K22" s="11">
        <v>0.8</v>
      </c>
      <c r="L22" s="51">
        <v>0.5</v>
      </c>
      <c r="M22" s="11"/>
      <c r="N22" s="73" t="str">
        <f t="shared" si="0"/>
        <v/>
      </c>
      <c r="O22" s="74" t="str">
        <f t="shared" si="1"/>
        <v/>
      </c>
      <c r="P22" s="73" t="str">
        <f t="shared" si="2"/>
        <v/>
      </c>
      <c r="Q22" s="13"/>
      <c r="R22" s="13"/>
      <c r="S22" s="13"/>
      <c r="T22" s="13"/>
      <c r="U22" s="13"/>
      <c r="V22" s="75" t="str">
        <f>IF($T22&lt;&gt;"معتمد","",IFERROR((IF(AND('قياس الأداء للربع الأول'!$T21="معتمد",'قياس الأداء للربع الأول'!$L21&gt;0),'قياس الأداء للربع الأول'!$M21,0)+IF(AND('قياس الأداء للربع الثاني'!$Q21="معتمد",'قياس الأداء للربع الثاني'!$L21&gt;0),'قياس الأداء للربع الثاني'!$M21,0)+IF(AND('قياس الأداء للربع الثالث'!$T22="معتمد",'قياس الأداء للربع الثالث'!$L22&gt;0),'قياس الأداء للربع الثالث'!$M22,0)+IF(AND($T22="معتمد",$L22&gt;0),$M22,0))/(IF(AND('قياس الأداء للربع الأول'!$T21="معتمد",'قياس الأداء للربع الأول'!$L21&gt;0),'قياس الأداء للربع الأول'!$L21,0)+IF(AND('قياس الأداء للربع الثاني'!$Q21="معتمد",'قياس الأداء للربع الثاني'!$L21&gt;0),'قياس الأداء للربع الثاني'!$L21,0)+IF(AND('قياس الأداء للربع الثالث'!$T22="معتمد",'قياس الأداء للربع الثالث'!$L22&gt;0),'قياس الأداء للربع الثالث'!$L22,0)+IF(AND($T22="معتمد",$L22&gt;0),$L22,0)),""))</f>
        <v/>
      </c>
      <c r="W22" s="75" t="str">
        <f>IF(AND($T22="معتمد",$K22&gt;0),(IF('قياس الأداء للربع الأول'!$T21="معتمد",'قياس الأداء للربع الأول'!$M21,0)+IF('قياس الأداء للربع الثاني'!$Q21="معتمد",'قياس الأداء للربع الثاني'!$M21,0)+IF('قياس الأداء للربع الثالث'!$T22="معتمد",'قياس الأداء للربع الثالث'!$M22,0)+IF($T22="معتمد",$M22,0))/$K22,"")</f>
        <v/>
      </c>
      <c r="X22" s="40" t="str">
        <f t="shared" si="3"/>
        <v>د3د2-3نسبة العمليات التي تم تطويرها وفق معايير الجودة المعتمدةنسبةكلما زاد كان أفضلربع سنويتقرير بالعملياتإدارة الشؤون المالية و الإدارية00.80.5</v>
      </c>
    </row>
    <row r="23" spans="1:51" s="12" customFormat="1">
      <c r="A23" s="9" t="s">
        <v>147</v>
      </c>
      <c r="B23" s="9" t="s">
        <v>148</v>
      </c>
      <c r="C23" s="10" t="s">
        <v>149</v>
      </c>
      <c r="D23" s="10"/>
      <c r="E23" s="9" t="s">
        <v>150</v>
      </c>
      <c r="F23" s="9" t="s">
        <v>30</v>
      </c>
      <c r="G23" s="9" t="s">
        <v>31</v>
      </c>
      <c r="H23" s="9" t="s">
        <v>151</v>
      </c>
      <c r="I23" s="9" t="s">
        <v>107</v>
      </c>
      <c r="J23" s="9">
        <v>0</v>
      </c>
      <c r="K23" s="11">
        <v>80</v>
      </c>
      <c r="L23" s="50">
        <v>25</v>
      </c>
      <c r="M23" s="11"/>
      <c r="N23" s="73" t="str">
        <f t="shared" si="0"/>
        <v/>
      </c>
      <c r="O23" s="74" t="str">
        <f t="shared" si="1"/>
        <v/>
      </c>
      <c r="P23" s="73" t="str">
        <f t="shared" si="2"/>
        <v/>
      </c>
      <c r="Q23" s="10"/>
      <c r="R23" s="10"/>
      <c r="S23" s="10"/>
      <c r="T23" s="10"/>
      <c r="U23" s="10"/>
      <c r="V23" s="75" t="str">
        <f>IF($T23&lt;&gt;"معتمد","",IFERROR((IF(AND('قياس الأداء للربع الأول'!$T22="معتمد",'قياس الأداء للربع الأول'!$L22&gt;0),'قياس الأداء للربع الأول'!$M22,0)+IF(AND('قياس الأداء للربع الثاني'!$Q22="معتمد",'قياس الأداء للربع الثاني'!$L22&gt;0),'قياس الأداء للربع الثاني'!$M22,0)+IF(AND('قياس الأداء للربع الثالث'!$T23="معتمد",'قياس الأداء للربع الثالث'!$L23&gt;0),'قياس الأداء للربع الثالث'!$M23,0)+IF(AND($T23="معتمد",$L23&gt;0),$M23,0))/(IF(AND('قياس الأداء للربع الأول'!$T22="معتمد",'قياس الأداء للربع الأول'!$L22&gt;0),'قياس الأداء للربع الأول'!$L22,0)+IF(AND('قياس الأداء للربع الثاني'!$Q22="معتمد",'قياس الأداء للربع الثاني'!$L22&gt;0),'قياس الأداء للربع الثاني'!$L22,0)+IF(AND('قياس الأداء للربع الثالث'!$T23="معتمد",'قياس الأداء للربع الثالث'!$L23&gt;0),'قياس الأداء للربع الثالث'!$L23,0)+IF(AND($T23="معتمد",$L23&gt;0),$L23,0)),""))</f>
        <v/>
      </c>
      <c r="W23" s="75" t="str">
        <f>IF(AND($T23="معتمد",$K23&gt;0),(IF('قياس الأداء للربع الأول'!$T22="معتمد",'قياس الأداء للربع الأول'!$M22,0)+IF('قياس الأداء للربع الثاني'!$Q22="معتمد",'قياس الأداء للربع الثاني'!$M22,0)+IF('قياس الأداء للربع الثالث'!$T23="معتمد",'قياس الأداء للربع الثالث'!$M23,0)+IF($T23="معتمد",$M23,0))/$K23,"")</f>
        <v/>
      </c>
      <c r="X23" s="40" t="str">
        <f t="shared" si="3"/>
        <v>د4د1-4عدد الشراكات الفاعلةشراكةكلما زاد كان أفضلربع سنويقائمة ببيانات الشراكات الفاعلة التي أقامتها الجمعيةإدارة الإتصال المؤسسي08025</v>
      </c>
    </row>
    <row r="24" spans="1:51" s="12" customFormat="1" ht="38.25" customHeight="1">
      <c r="A24" s="9" t="s">
        <v>147</v>
      </c>
      <c r="B24" s="9" t="s">
        <v>155</v>
      </c>
      <c r="C24" s="10" t="s">
        <v>156</v>
      </c>
      <c r="D24" s="10"/>
      <c r="E24" s="9" t="s">
        <v>157</v>
      </c>
      <c r="F24" s="9" t="s">
        <v>30</v>
      </c>
      <c r="G24" s="9" t="s">
        <v>31</v>
      </c>
      <c r="H24" s="19" t="s">
        <v>158</v>
      </c>
      <c r="I24" s="9" t="s">
        <v>107</v>
      </c>
      <c r="J24" s="9">
        <v>0</v>
      </c>
      <c r="K24" s="11" t="s">
        <v>159</v>
      </c>
      <c r="L24" s="50">
        <v>24</v>
      </c>
      <c r="M24" s="11"/>
      <c r="N24" s="73" t="str">
        <f t="shared" si="0"/>
        <v/>
      </c>
      <c r="O24" s="74" t="str">
        <f t="shared" si="1"/>
        <v/>
      </c>
      <c r="P24" s="73" t="str">
        <f t="shared" si="2"/>
        <v/>
      </c>
      <c r="Q24" s="10"/>
      <c r="R24" s="10"/>
      <c r="S24" s="10"/>
      <c r="T24" s="10"/>
      <c r="U24" s="10"/>
      <c r="V24" s="75" t="str">
        <f>IF($T24&lt;&gt;"معتمد","",IFERROR((IF(AND('قياس الأداء للربع الأول'!$T23="معتمد",'قياس الأداء للربع الأول'!$L23&gt;0),'قياس الأداء للربع الأول'!$M23,0)+IF(AND('قياس الأداء للربع الثاني'!$Q23="معتمد",'قياس الأداء للربع الثاني'!$L23&gt;0),'قياس الأداء للربع الثاني'!$M23,0)+IF(AND('قياس الأداء للربع الثالث'!$T24="معتمد",'قياس الأداء للربع الثالث'!$L24&gt;0),'قياس الأداء للربع الثالث'!$M24,0)+IF(AND($T24="معتمد",$L24&gt;0),$M24,0))/(IF(AND('قياس الأداء للربع الأول'!$T23="معتمد",'قياس الأداء للربع الأول'!$L23&gt;0),'قياس الأداء للربع الأول'!$L23,0)+IF(AND('قياس الأداء للربع الثاني'!$Q23="معتمد",'قياس الأداء للربع الثاني'!$L23&gt;0),'قياس الأداء للربع الثاني'!$L23,0)+IF(AND('قياس الأداء للربع الثالث'!$T24="معتمد",'قياس الأداء للربع الثالث'!$L24&gt;0),'قياس الأداء للربع الثالث'!$L24,0)+IF(AND($T24="معتمد",$L24&gt;0),$L24,0)),""))</f>
        <v/>
      </c>
      <c r="W24" s="75" t="str">
        <f>IF(AND($T24="معتمد",$K24&gt;0),(IF('قياس الأداء للربع الأول'!$T23="معتمد",'قياس الأداء للربع الأول'!$M23,0)+IF('قياس الأداء للربع الثاني'!$Q23="معتمد",'قياس الأداء للربع الثاني'!$M23,0)+IF('قياس الأداء للربع الثالث'!$T24="معتمد",'قياس الأداء للربع الثالث'!$M24,0)+IF($T24="معتمد",$M24,0))/$K24,"")</f>
        <v/>
      </c>
      <c r="X24" s="40" t="str">
        <f t="shared" si="3"/>
        <v>د4د2-4عدد الزيارات المنفذة للشركاء وأصحاب المصلحة عددكلما زاد كان أفضلربع سنويقائمة بالشركاء وأصحاب المصلحة الذين تم التواصل معهم بأسمائهم أو أوصافهم )مثال: قاعدة
بيانات الواتس – شركاء منافذ( موضح بها العدد ووسيلة التواصل)إدارة الإتصال المؤسسي052 زيارة،4 عمليات تواصل24</v>
      </c>
    </row>
    <row r="25" spans="1:51" s="12" customFormat="1">
      <c r="A25" s="9" t="s">
        <v>147</v>
      </c>
      <c r="B25" s="9" t="s">
        <v>161</v>
      </c>
      <c r="C25" s="10" t="s">
        <v>162</v>
      </c>
      <c r="D25" s="10"/>
      <c r="E25" s="9" t="s">
        <v>37</v>
      </c>
      <c r="F25" s="9" t="s">
        <v>30</v>
      </c>
      <c r="G25" s="9" t="s">
        <v>31</v>
      </c>
      <c r="H25" s="9" t="s">
        <v>163</v>
      </c>
      <c r="I25" s="9" t="s">
        <v>107</v>
      </c>
      <c r="J25" s="9">
        <v>0</v>
      </c>
      <c r="K25" s="18">
        <v>0.94</v>
      </c>
      <c r="L25" s="51">
        <v>0</v>
      </c>
      <c r="M25" s="18"/>
      <c r="N25" s="73" t="str">
        <f t="shared" si="0"/>
        <v/>
      </c>
      <c r="O25" s="78" t="str">
        <f t="shared" si="1"/>
        <v/>
      </c>
      <c r="P25" s="79" t="str">
        <f t="shared" si="2"/>
        <v/>
      </c>
      <c r="Q25" s="20"/>
      <c r="R25" s="20"/>
      <c r="S25" s="20"/>
      <c r="T25" s="20"/>
      <c r="U25" s="20"/>
      <c r="V25" s="75" t="str">
        <f>IF($T25&lt;&gt;"معتمد","",IFERROR((IF(AND('قياس الأداء للربع الأول'!$T24="معتمد",'قياس الأداء للربع الأول'!$L24&gt;0),'قياس الأداء للربع الأول'!$M24,0)+IF(AND('قياس الأداء للربع الثاني'!$Q24="معتمد",'قياس الأداء للربع الثاني'!$L24&gt;0),'قياس الأداء للربع الثاني'!$M24,0)+IF(AND('قياس الأداء للربع الثالث'!$T25="معتمد",'قياس الأداء للربع الثالث'!$L25&gt;0),'قياس الأداء للربع الثالث'!$M25,0)+IF(AND($T25="معتمد",$L25&gt;0),$M25,0))/(IF(AND('قياس الأداء للربع الأول'!$T24="معتمد",'قياس الأداء للربع الأول'!$L24&gt;0),'قياس الأداء للربع الأول'!$L24,0)+IF(AND('قياس الأداء للربع الثاني'!$Q24="معتمد",'قياس الأداء للربع الثاني'!$L24&gt;0),'قياس الأداء للربع الثاني'!$L24,0)+IF(AND('قياس الأداء للربع الثالث'!$T25="معتمد",'قياس الأداء للربع الثالث'!$L25&gt;0),'قياس الأداء للربع الثالث'!$L25,0)+IF(AND($T25="معتمد",$L25&gt;0),$L25,0)),""))</f>
        <v/>
      </c>
      <c r="W25" s="75" t="str">
        <f>IF(AND($T25="معتمد",$K25&gt;0),(IF('قياس الأداء للربع الأول'!$T24="معتمد",'قياس الأداء للربع الأول'!$M24,0)+IF('قياس الأداء للربع الثاني'!$Q24="معتمد",'قياس الأداء للربع الثاني'!$M24,0)+IF('قياس الأداء للربع الثالث'!$T25="معتمد",'قياس الأداء للربع الثالث'!$M25,0)+IF($T25="معتمد",$M25,0))/$K25,"")</f>
        <v/>
      </c>
      <c r="X25" s="40" t="str">
        <f t="shared" si="3"/>
        <v>د4د3-4نسبة رضا أصحاب المصلحة عن الجمعيةنسبةكلما زاد كان أفضلربع سنويإستمارات قياس رضا أصحاب المصلحة عن الجمعيةإدارة الإتصال المؤسسي00.940</v>
      </c>
    </row>
    <row r="26" spans="1:51" s="12" customFormat="1">
      <c r="A26" s="9" t="s">
        <v>165</v>
      </c>
      <c r="B26" s="9" t="s">
        <v>166</v>
      </c>
      <c r="C26" s="10" t="s">
        <v>167</v>
      </c>
      <c r="D26" s="10"/>
      <c r="E26" s="9" t="s">
        <v>168</v>
      </c>
      <c r="F26" s="9" t="s">
        <v>30</v>
      </c>
      <c r="G26" s="9" t="s">
        <v>31</v>
      </c>
      <c r="H26" s="9" t="s">
        <v>169</v>
      </c>
      <c r="I26" s="9" t="s">
        <v>107</v>
      </c>
      <c r="J26" s="9">
        <v>0</v>
      </c>
      <c r="K26" s="11">
        <v>200</v>
      </c>
      <c r="L26" s="50">
        <v>70</v>
      </c>
      <c r="M26" s="11"/>
      <c r="N26" s="73" t="str">
        <f t="shared" si="0"/>
        <v/>
      </c>
      <c r="O26" s="74" t="str">
        <f t="shared" si="1"/>
        <v/>
      </c>
      <c r="P26" s="73" t="str">
        <f t="shared" si="2"/>
        <v/>
      </c>
      <c r="Q26" s="10"/>
      <c r="R26" s="10"/>
      <c r="S26" s="10"/>
      <c r="T26" s="10"/>
      <c r="U26" s="10"/>
      <c r="V26" s="75" t="str">
        <f>IF($T26&lt;&gt;"معتمد","",IFERROR((IF(AND('قياس الأداء للربع الأول'!$T25="معتمد",'قياس الأداء للربع الأول'!$L25&gt;0),'قياس الأداء للربع الأول'!$M25,0)+IF(AND('قياس الأداء للربع الثاني'!$Q25="معتمد",'قياس الأداء للربع الثاني'!$L25&gt;0),'قياس الأداء للربع الثاني'!$M25,0)+IF(AND('قياس الأداء للربع الثالث'!$T26="معتمد",'قياس الأداء للربع الثالث'!$L26&gt;0),'قياس الأداء للربع الثالث'!$M26,0)+IF(AND($T26="معتمد",$L26&gt;0),$M26,0))/(IF(AND('قياس الأداء للربع الأول'!$T25="معتمد",'قياس الأداء للربع الأول'!$L25&gt;0),'قياس الأداء للربع الأول'!$L25,0)+IF(AND('قياس الأداء للربع الثاني'!$Q25="معتمد",'قياس الأداء للربع الثاني'!$L25&gt;0),'قياس الأداء للربع الثاني'!$L25,0)+IF(AND('قياس الأداء للربع الثالث'!$T26="معتمد",'قياس الأداء للربع الثالث'!$L26&gt;0),'قياس الأداء للربع الثالث'!$L26,0)+IF(AND($T26="معتمد",$L26&gt;0),$L26,0)),""))</f>
        <v/>
      </c>
      <c r="W26" s="75" t="str">
        <f>IF(AND($T26="معتمد",$K26&gt;0),(IF('قياس الأداء للربع الأول'!$T25="معتمد",'قياس الأداء للربع الأول'!$M25,0)+IF('قياس الأداء للربع الثاني'!$Q25="معتمد",'قياس الأداء للربع الثاني'!$M25,0)+IF('قياس الأداء للربع الثالث'!$T26="معتمد",'قياس الأداء للربع الثالث'!$M26,0)+IF($T26="معتمد",$M26,0))/$K26,"")</f>
        <v/>
      </c>
      <c r="X26" s="40" t="str">
        <f t="shared" si="3"/>
        <v>د5د1-5عدد المشاركات الإعلامية التي تخدم أهداف الجمعيةمشاركة إعلاميةكلما زاد كان أفضلربع سنويتقرير بالمشاركات الإعلامية التي نشرتها الجمعيةإدارة الإتصال المؤسسي020070</v>
      </c>
    </row>
    <row r="27" spans="1:51" s="12" customFormat="1">
      <c r="A27" s="9" t="s">
        <v>165</v>
      </c>
      <c r="B27" s="9" t="s">
        <v>173</v>
      </c>
      <c r="C27" s="10" t="s">
        <v>174</v>
      </c>
      <c r="D27" s="10"/>
      <c r="E27" s="9" t="s">
        <v>175</v>
      </c>
      <c r="F27" s="9" t="s">
        <v>30</v>
      </c>
      <c r="G27" s="9" t="s">
        <v>31</v>
      </c>
      <c r="H27" s="9" t="s">
        <v>176</v>
      </c>
      <c r="I27" s="9" t="s">
        <v>107</v>
      </c>
      <c r="J27" s="9">
        <v>0</v>
      </c>
      <c r="K27" s="11">
        <v>5000000</v>
      </c>
      <c r="L27" s="50">
        <v>2500000</v>
      </c>
      <c r="M27" s="11"/>
      <c r="N27" s="73" t="str">
        <f t="shared" si="0"/>
        <v/>
      </c>
      <c r="O27" s="74" t="str">
        <f t="shared" si="1"/>
        <v/>
      </c>
      <c r="P27" s="73" t="str">
        <f t="shared" si="2"/>
        <v/>
      </c>
      <c r="Q27" s="10"/>
      <c r="R27" s="10"/>
      <c r="S27" s="10"/>
      <c r="T27" s="10"/>
      <c r="U27" s="10"/>
      <c r="V27" s="75" t="str">
        <f>IF($T27&lt;&gt;"معتمد","",IFERROR((IF(AND('قياس الأداء للربع الأول'!$T26="معتمد",'قياس الأداء للربع الأول'!$L26&gt;0),'قياس الأداء للربع الأول'!$M26,0)+IF(AND('قياس الأداء للربع الثاني'!$Q26="معتمد",'قياس الأداء للربع الثاني'!$L26&gt;0),'قياس الأداء للربع الثاني'!$M26,0)+IF(AND('قياس الأداء للربع الثالث'!$T27="معتمد",'قياس الأداء للربع الثالث'!$L27&gt;0),'قياس الأداء للربع الثالث'!$M27,0)+IF(AND($T27="معتمد",$L27&gt;0),$M27,0))/(IF(AND('قياس الأداء للربع الأول'!$T26="معتمد",'قياس الأداء للربع الأول'!$L26&gt;0),'قياس الأداء للربع الأول'!$L26,0)+IF(AND('قياس الأداء للربع الثاني'!$Q26="معتمد",'قياس الأداء للربع الثاني'!$L26&gt;0),'قياس الأداء للربع الثاني'!$L26,0)+IF(AND('قياس الأداء للربع الثالث'!$T27="معتمد",'قياس الأداء للربع الثالث'!$L27&gt;0),'قياس الأداء للربع الثالث'!$L27,0)+IF(AND($T27="معتمد",$L27&gt;0),$L27,0)),""))</f>
        <v/>
      </c>
      <c r="W27" s="75" t="str">
        <f>IF(AND($T27="معتمد",$K27&gt;0),(IF('قياس الأداء للربع الأول'!$T26="معتمد",'قياس الأداء للربع الأول'!$M26,0)+IF('قياس الأداء للربع الثاني'!$Q26="معتمد",'قياس الأداء للربع الثاني'!$M26,0)+IF('قياس الأداء للربع الثالث'!$T27="معتمد",'قياس الأداء للربع الثالث'!$M27,0)+IF($T27="معتمد",$M27,0))/$K27,"")</f>
        <v/>
      </c>
      <c r="X27" s="40" t="str">
        <f t="shared" si="3"/>
        <v>د5د2-5عدد مرات الظهور الإعلامي (المشاهدات) مشاهدةكلما زاد كان أفضلربع سنويتقرير بالمشاهدات للمشاركات الإعلامية، بتوضيح كل قناة وعدد المشاهدات / الظهور فيهاإدارة الإتصال المؤسسي050000002500000</v>
      </c>
    </row>
    <row r="28" spans="1:51" s="12" customFormat="1">
      <c r="A28" s="9" t="s">
        <v>165</v>
      </c>
      <c r="B28" s="9" t="s">
        <v>181</v>
      </c>
      <c r="C28" s="10" t="s">
        <v>182</v>
      </c>
      <c r="D28" s="10"/>
      <c r="E28" s="9" t="s">
        <v>183</v>
      </c>
      <c r="F28" s="9" t="s">
        <v>30</v>
      </c>
      <c r="G28" s="9" t="s">
        <v>31</v>
      </c>
      <c r="H28" s="9" t="s">
        <v>184</v>
      </c>
      <c r="I28" s="9" t="s">
        <v>107</v>
      </c>
      <c r="J28" s="9">
        <v>0</v>
      </c>
      <c r="K28" s="11">
        <v>20</v>
      </c>
      <c r="L28" s="50">
        <v>20</v>
      </c>
      <c r="M28" s="11"/>
      <c r="N28" s="73" t="str">
        <f t="shared" si="0"/>
        <v/>
      </c>
      <c r="O28" s="74" t="str">
        <f t="shared" si="1"/>
        <v/>
      </c>
      <c r="P28" s="73" t="str">
        <f t="shared" si="2"/>
        <v/>
      </c>
      <c r="Q28" s="10"/>
      <c r="R28" s="10"/>
      <c r="S28" s="10"/>
      <c r="T28" s="10"/>
      <c r="U28" s="10"/>
      <c r="V28" s="75" t="str">
        <f>IF($T28&lt;&gt;"معتمد","",IFERROR((IF(AND('قياس الأداء للربع الأول'!$T27="معتمد",'قياس الأداء للربع الأول'!$L27&gt;0),'قياس الأداء للربع الأول'!$M27,0)+IF(AND('قياس الأداء للربع الثاني'!$Q27="معتمد",'قياس الأداء للربع الثاني'!$L27&gt;0),'قياس الأداء للربع الثاني'!$M27,0)+IF(AND('قياس الأداء للربع الثالث'!$T28="معتمد",'قياس الأداء للربع الثالث'!$L28&gt;0),'قياس الأداء للربع الثالث'!$M28,0)+IF(AND($T28="معتمد",$L28&gt;0),$M28,0))/(IF(AND('قياس الأداء للربع الأول'!$T27="معتمد",'قياس الأداء للربع الأول'!$L27&gt;0),'قياس الأداء للربع الأول'!$L27,0)+IF(AND('قياس الأداء للربع الثاني'!$Q27="معتمد",'قياس الأداء للربع الثاني'!$L27&gt;0),'قياس الأداء للربع الثاني'!$L27,0)+IF(AND('قياس الأداء للربع الثالث'!$T28="معتمد",'قياس الأداء للربع الثالث'!$L28&gt;0),'قياس الأداء للربع الثالث'!$L28,0)+IF(AND($T28="معتمد",$L28&gt;0),$L28,0)),""))</f>
        <v/>
      </c>
      <c r="W28" s="75" t="str">
        <f>IF(AND($T28="معتمد",$K28&gt;0),(IF('قياس الأداء للربع الأول'!$T27="معتمد",'قياس الأداء للربع الأول'!$M27,0)+IF('قياس الأداء للربع الثاني'!$Q27="معتمد",'قياس الأداء للربع الثاني'!$M27,0)+IF('قياس الأداء للربع الثالث'!$T28="معتمد",'قياس الأداء للربع الثالث'!$M28,0)+IF($T28="معتمد",$M28,0))/$K28,"")</f>
        <v/>
      </c>
      <c r="X28" s="40" t="str">
        <f t="shared" si="3"/>
        <v>د5د3-5عدد قنوات الظهور الإعلاميقناةكلما زاد كان أفضلربع سنويقائمة بالقنوات الإعلاميةإدارة الإتصال المؤسسي02020</v>
      </c>
    </row>
    <row r="29" spans="1:51" s="12" customFormat="1">
      <c r="A29" s="9" t="s">
        <v>188</v>
      </c>
      <c r="B29" s="9" t="s">
        <v>189</v>
      </c>
      <c r="C29" s="10" t="s">
        <v>190</v>
      </c>
      <c r="D29" s="10"/>
      <c r="E29" s="9" t="s">
        <v>191</v>
      </c>
      <c r="F29" s="9" t="s">
        <v>30</v>
      </c>
      <c r="G29" s="9" t="s">
        <v>31</v>
      </c>
      <c r="H29" s="9" t="s">
        <v>192</v>
      </c>
      <c r="I29" s="9" t="s">
        <v>193</v>
      </c>
      <c r="J29" s="9">
        <v>0</v>
      </c>
      <c r="K29" s="11">
        <v>50</v>
      </c>
      <c r="L29" s="50">
        <v>10</v>
      </c>
      <c r="M29" s="11"/>
      <c r="N29" s="73" t="str">
        <f t="shared" si="0"/>
        <v/>
      </c>
      <c r="O29" s="74" t="str">
        <f t="shared" si="1"/>
        <v/>
      </c>
      <c r="P29" s="73" t="str">
        <f t="shared" si="2"/>
        <v/>
      </c>
      <c r="Q29" s="10"/>
      <c r="R29" s="10"/>
      <c r="S29" s="10"/>
      <c r="T29" s="10"/>
      <c r="U29" s="10"/>
      <c r="V29" s="75" t="str">
        <f>IF($T29&lt;&gt;"معتمد","",IFERROR((IF(AND('قياس الأداء للربع الأول'!$T28="معتمد",'قياس الأداء للربع الأول'!$L28&gt;0),'قياس الأداء للربع الأول'!$M28,0)+IF(AND('قياس الأداء للربع الثاني'!$Q28="معتمد",'قياس الأداء للربع الثاني'!$L28&gt;0),'قياس الأداء للربع الثاني'!$M28,0)+IF(AND('قياس الأداء للربع الثالث'!$T29="معتمد",'قياس الأداء للربع الثالث'!$L29&gt;0),'قياس الأداء للربع الثالث'!$M29,0)+IF(AND($T29="معتمد",$L29&gt;0),$M29,0))/(IF(AND('قياس الأداء للربع الأول'!$T28="معتمد",'قياس الأداء للربع الأول'!$L28&gt;0),'قياس الأداء للربع الأول'!$L28,0)+IF(AND('قياس الأداء للربع الثاني'!$Q28="معتمد",'قياس الأداء للربع الثاني'!$L28&gt;0),'قياس الأداء للربع الثاني'!$L28,0)+IF(AND('قياس الأداء للربع الثالث'!$T29="معتمد",'قياس الأداء للربع الثالث'!$L29&gt;0),'قياس الأداء للربع الثالث'!$L29,0)+IF(AND($T29="معتمد",$L29&gt;0),$L29,0)),""))</f>
        <v/>
      </c>
      <c r="W29" s="75" t="str">
        <f>IF(AND($T29="معتمد",$K29&gt;0),(IF('قياس الأداء للربع الأول'!$T28="معتمد",'قياس الأداء للربع الأول'!$M28,0)+IF('قياس الأداء للربع الثاني'!$Q28="معتمد",'قياس الأداء للربع الثاني'!$M28,0)+IF('قياس الأداء للربع الثالث'!$T29="معتمد",'قياس الأداء للربع الثالث'!$M29,0)+IF($T29="معتمد",$M29,0))/$K29,"")</f>
        <v/>
      </c>
      <c r="X29" s="40" t="str">
        <f t="shared" si="3"/>
        <v>ن1ن1-1متوسط عدد الساعات التطويرية المقدمة للفردساعةكلما زاد كان أفضلربع سنويتقرير بالساعات التطويرية المقدمة لموظفي الجمعية ونوع التطوير المقدمإدارة الأداء و النمو05010</v>
      </c>
    </row>
    <row r="30" spans="1:51" s="12" customFormat="1">
      <c r="A30" s="9" t="s">
        <v>188</v>
      </c>
      <c r="B30" s="9" t="s">
        <v>194</v>
      </c>
      <c r="C30" s="10" t="s">
        <v>195</v>
      </c>
      <c r="D30" s="10"/>
      <c r="E30" s="9" t="s">
        <v>37</v>
      </c>
      <c r="F30" s="9" t="s">
        <v>30</v>
      </c>
      <c r="G30" s="9" t="s">
        <v>31</v>
      </c>
      <c r="H30" s="9" t="s">
        <v>196</v>
      </c>
      <c r="I30" s="9" t="s">
        <v>193</v>
      </c>
      <c r="J30" s="9">
        <v>0</v>
      </c>
      <c r="K30" s="11">
        <v>0.65</v>
      </c>
      <c r="L30" s="50">
        <v>0.45</v>
      </c>
      <c r="M30" s="11"/>
      <c r="N30" s="73" t="str">
        <f t="shared" si="0"/>
        <v/>
      </c>
      <c r="O30" s="74" t="str">
        <f t="shared" si="1"/>
        <v/>
      </c>
      <c r="P30" s="73" t="str">
        <f t="shared" si="2"/>
        <v/>
      </c>
      <c r="Q30" s="13"/>
      <c r="R30" s="13"/>
      <c r="S30" s="13"/>
      <c r="T30" s="13"/>
      <c r="U30" s="13"/>
      <c r="V30" s="75" t="str">
        <f>IF($T30&lt;&gt;"معتمد","",IFERROR((IF(AND('قياس الأداء للربع الأول'!$T29="معتمد",'قياس الأداء للربع الأول'!$L29&gt;0),'قياس الأداء للربع الأول'!$M29,0)+IF(AND('قياس الأداء للربع الثاني'!$Q29="معتمد",'قياس الأداء للربع الثاني'!$L29&gt;0),'قياس الأداء للربع الثاني'!$M29,0)+IF(AND('قياس الأداء للربع الثالث'!$T30="معتمد",'قياس الأداء للربع الثالث'!$L30&gt;0),'قياس الأداء للربع الثالث'!$M30,0)+IF(AND($T30="معتمد",$L30&gt;0),$M30,0))/(IF(AND('قياس الأداء للربع الأول'!$T29="معتمد",'قياس الأداء للربع الأول'!$L29&gt;0),'قياس الأداء للربع الأول'!$L29,0)+IF(AND('قياس الأداء للربع الثاني'!$Q29="معتمد",'قياس الأداء للربع الثاني'!$L29&gt;0),'قياس الأداء للربع الثاني'!$L29,0)+IF(AND('قياس الأداء للربع الثالث'!$T30="معتمد",'قياس الأداء للربع الثالث'!$L30&gt;0),'قياس الأداء للربع الثالث'!$L30,0)+IF(AND($T30="معتمد",$L30&gt;0),$L30,0)),""))</f>
        <v/>
      </c>
      <c r="W30" s="75" t="str">
        <f>IF(AND($T30="معتمد",$K30&gt;0),(IF('قياس الأداء للربع الأول'!$T29="معتمد",'قياس الأداء للربع الأول'!$M29,0)+IF('قياس الأداء للربع الثاني'!$Q29="معتمد",'قياس الأداء للربع الثاني'!$M29,0)+IF('قياس الأداء للربع الثالث'!$T30="معتمد",'قياس الأداء للربع الثالث'!$M30,0)+IF($T30="معتمد",$M30,0))/$K30,"")</f>
        <v/>
      </c>
      <c r="X30" s="40" t="str">
        <f t="shared" si="3"/>
        <v>ن1ن2-1نسبة الموظفين المؤهلين مهنيًا في وظائفهمنسبةكلما زاد كان أفضلربع سنويتقرير بالموظفين الحاصلين على التأهيل وخطط الإحتياج المهني لهمإدارة الأداء و النمو00.650.45</v>
      </c>
    </row>
    <row r="31" spans="1:51" s="12" customFormat="1" ht="38.25" customHeight="1">
      <c r="A31" s="9" t="s">
        <v>197</v>
      </c>
      <c r="B31" s="9" t="s">
        <v>198</v>
      </c>
      <c r="C31" s="10" t="s">
        <v>199</v>
      </c>
      <c r="D31" s="10"/>
      <c r="E31" s="9" t="s">
        <v>200</v>
      </c>
      <c r="F31" s="9" t="s">
        <v>30</v>
      </c>
      <c r="G31" s="9" t="s">
        <v>31</v>
      </c>
      <c r="H31" s="19" t="s">
        <v>201</v>
      </c>
      <c r="I31" s="9" t="s">
        <v>62</v>
      </c>
      <c r="J31" s="9">
        <v>0</v>
      </c>
      <c r="K31" s="11">
        <v>2500</v>
      </c>
      <c r="L31" s="50">
        <v>1300</v>
      </c>
      <c r="M31" s="11"/>
      <c r="N31" s="73" t="str">
        <f t="shared" si="0"/>
        <v/>
      </c>
      <c r="O31" s="74" t="str">
        <f t="shared" si="1"/>
        <v/>
      </c>
      <c r="P31" s="73" t="str">
        <f t="shared" si="2"/>
        <v/>
      </c>
      <c r="Q31" s="10"/>
      <c r="R31" s="10"/>
      <c r="S31" s="10"/>
      <c r="T31" s="10"/>
      <c r="U31" s="10"/>
      <c r="V31" s="75" t="str">
        <f>IF($T31&lt;&gt;"معتمد","",IFERROR((IF(AND('قياس الأداء للربع الأول'!$T30="معتمد",'قياس الأداء للربع الأول'!$L30&gt;0),'قياس الأداء للربع الأول'!$M30,0)+IF(AND('قياس الأداء للربع الثاني'!$Q30="معتمد",'قياس الأداء للربع الثاني'!$L30&gt;0),'قياس الأداء للربع الثاني'!$M30,0)+IF(AND('قياس الأداء للربع الثالث'!$T31="معتمد",'قياس الأداء للربع الثالث'!$L31&gt;0),'قياس الأداء للربع الثالث'!$M31,0)+IF(AND($T31="معتمد",$L31&gt;0),$M31,0))/(IF(AND('قياس الأداء للربع الأول'!$T30="معتمد",'قياس الأداء للربع الأول'!$L30&gt;0),'قياس الأداء للربع الأول'!$L30,0)+IF(AND('قياس الأداء للربع الثاني'!$Q30="معتمد",'قياس الأداء للربع الثاني'!$L30&gt;0),'قياس الأداء للربع الثاني'!$L30,0)+IF(AND('قياس الأداء للربع الثالث'!$T31="معتمد",'قياس الأداء للربع الثالث'!$L31&gt;0),'قياس الأداء للربع الثالث'!$L31,0)+IF(AND($T31="معتمد",$L31&gt;0),$L31,0)),""))</f>
        <v/>
      </c>
      <c r="W31" s="75" t="str">
        <f>IF(AND($T31="معتمد",$K31&gt;0),(IF('قياس الأداء للربع الأول'!$T30="معتمد",'قياس الأداء للربع الأول'!$M30,0)+IF('قياس الأداء للربع الثاني'!$Q30="معتمد",'قياس الأداء للربع الثاني'!$M30,0)+IF('قياس الأداء للربع الثالث'!$T31="معتمد",'قياس الأداء للربع الثالث'!$M31,0)+IF($T31="معتمد",$M31,0))/$K31,"")</f>
        <v/>
      </c>
      <c r="X31" s="40" t="str">
        <f t="shared" si="3"/>
        <v>ن2ن1-2عدد المتطوعين في أعمال وبرامج الجمعية (بدون تكرار)متطوعكلما زاد كان أفضلربع سنويتقرير بأسماء المشاريع أو البرامج التي شارك فيها متطوعون وعددهم + تقرير بالمتطوعين المشاركين
في إدارات الجمعيةإدارة التكافل المجتمعي025001300</v>
      </c>
    </row>
    <row r="32" spans="1:51" s="12" customFormat="1">
      <c r="A32" s="9" t="s">
        <v>197</v>
      </c>
      <c r="B32" s="9" t="s">
        <v>205</v>
      </c>
      <c r="C32" s="10" t="s">
        <v>206</v>
      </c>
      <c r="D32" s="10"/>
      <c r="E32" s="9" t="s">
        <v>191</v>
      </c>
      <c r="F32" s="9" t="s">
        <v>30</v>
      </c>
      <c r="G32" s="9" t="s">
        <v>31</v>
      </c>
      <c r="H32" s="9" t="s">
        <v>207</v>
      </c>
      <c r="I32" s="9" t="s">
        <v>62</v>
      </c>
      <c r="J32" s="9">
        <v>0</v>
      </c>
      <c r="K32" s="11">
        <v>70000</v>
      </c>
      <c r="L32" s="50">
        <v>32000</v>
      </c>
      <c r="M32" s="11"/>
      <c r="N32" s="73" t="str">
        <f t="shared" si="0"/>
        <v/>
      </c>
      <c r="O32" s="74" t="str">
        <f t="shared" si="1"/>
        <v/>
      </c>
      <c r="P32" s="73" t="str">
        <f t="shared" si="2"/>
        <v/>
      </c>
      <c r="Q32" s="10"/>
      <c r="R32" s="10"/>
      <c r="S32" s="10"/>
      <c r="T32" s="10"/>
      <c r="U32" s="10"/>
      <c r="V32" s="75" t="str">
        <f>IF($T32&lt;&gt;"معتمد","",IFERROR((IF(AND('قياس الأداء للربع الأول'!$T31="معتمد",'قياس الأداء للربع الأول'!$L31&gt;0),'قياس الأداء للربع الأول'!$M31,0)+IF(AND('قياس الأداء للربع الثاني'!$Q31="معتمد",'قياس الأداء للربع الثاني'!$L31&gt;0),'قياس الأداء للربع الثاني'!$M31,0)+IF(AND('قياس الأداء للربع الثالث'!$T32="معتمد",'قياس الأداء للربع الثالث'!$L32&gt;0),'قياس الأداء للربع الثالث'!$M32,0)+IF(AND($T32="معتمد",$L32&gt;0),$M32,0))/(IF(AND('قياس الأداء للربع الأول'!$T31="معتمد",'قياس الأداء للربع الأول'!$L31&gt;0),'قياس الأداء للربع الأول'!$L31,0)+IF(AND('قياس الأداء للربع الثاني'!$Q31="معتمد",'قياس الأداء للربع الثاني'!$L31&gt;0),'قياس الأداء للربع الثاني'!$L31,0)+IF(AND('قياس الأداء للربع الثالث'!$T32="معتمد",'قياس الأداء للربع الثالث'!$L32&gt;0),'قياس الأداء للربع الثالث'!$L32,0)+IF(AND($T32="معتمد",$L32&gt;0),$L32,0)),""))</f>
        <v/>
      </c>
      <c r="W32" s="75" t="str">
        <f>IF(AND($T32="معتمد",$K32&gt;0),(IF('قياس الأداء للربع الأول'!$T31="معتمد",'قياس الأداء للربع الأول'!$M31,0)+IF('قياس الأداء للربع الثاني'!$Q31="معتمد",'قياس الأداء للربع الثاني'!$M31,0)+IF('قياس الأداء للربع الثالث'!$T32="معتمد",'قياس الأداء للربع الثالث'!$M32,0)+IF($T32="معتمد",$M32,0))/$K32,"")</f>
        <v/>
      </c>
      <c r="X32" s="40" t="str">
        <f t="shared" si="3"/>
        <v>ن2ن2-2عدد الساعات التطوعيةساعةكلما زاد كان أفضلربع سنويتقرير بالساعات التطوعية التي تم تسجيلها منصة التطوع + (من لم تنطبق عليه الشروط)إدارة التكافل المجتمعي07000032000</v>
      </c>
    </row>
    <row r="33" spans="1:24" s="12" customFormat="1">
      <c r="A33" s="9" t="s">
        <v>210</v>
      </c>
      <c r="B33" s="9" t="s">
        <v>211</v>
      </c>
      <c r="C33" s="10" t="s">
        <v>212</v>
      </c>
      <c r="D33" s="10"/>
      <c r="E33" s="9" t="s">
        <v>37</v>
      </c>
      <c r="F33" s="9" t="s">
        <v>30</v>
      </c>
      <c r="G33" s="9" t="s">
        <v>31</v>
      </c>
      <c r="H33" s="9" t="s">
        <v>213</v>
      </c>
      <c r="I33" s="9" t="s">
        <v>193</v>
      </c>
      <c r="J33" s="9">
        <v>0</v>
      </c>
      <c r="K33" s="11">
        <v>0.88</v>
      </c>
      <c r="L33" s="53">
        <v>0.85</v>
      </c>
      <c r="M33" s="11"/>
      <c r="N33" s="73" t="str">
        <f t="shared" si="0"/>
        <v/>
      </c>
      <c r="O33" s="74" t="str">
        <f t="shared" si="1"/>
        <v/>
      </c>
      <c r="P33" s="73" t="str">
        <f t="shared" si="2"/>
        <v/>
      </c>
      <c r="Q33" s="13"/>
      <c r="R33" s="13"/>
      <c r="S33" s="13"/>
      <c r="T33" s="13"/>
      <c r="U33" s="13"/>
      <c r="V33" s="75" t="str">
        <f>IF($T33&lt;&gt;"معتمد","",IFERROR((IF(AND('قياس الأداء للربع الأول'!$T32="معتمد",'قياس الأداء للربع الأول'!$L32&gt;0),'قياس الأداء للربع الأول'!$M32,0)+IF(AND('قياس الأداء للربع الثاني'!$Q32="معتمد",'قياس الأداء للربع الثاني'!$L32&gt;0),'قياس الأداء للربع الثاني'!$M32,0)+IF(AND('قياس الأداء للربع الثالث'!$T33="معتمد",'قياس الأداء للربع الثالث'!$L33&gt;0),'قياس الأداء للربع الثالث'!$M33,0)+IF(AND($T33="معتمد",$L33&gt;0),$M33,0))/(IF(AND('قياس الأداء للربع الأول'!$T32="معتمد",'قياس الأداء للربع الأول'!$L32&gt;0),'قياس الأداء للربع الأول'!$L32,0)+IF(AND('قياس الأداء للربع الثاني'!$Q32="معتمد",'قياس الأداء للربع الثاني'!$L32&gt;0),'قياس الأداء للربع الثاني'!$L32,0)+IF(AND('قياس الأداء للربع الثالث'!$T33="معتمد",'قياس الأداء للربع الثالث'!$L33&gt;0),'قياس الأداء للربع الثالث'!$L33,0)+IF(AND($T33="معتمد",$L33&gt;0),$L33,0)),""))</f>
        <v/>
      </c>
      <c r="W33" s="75" t="str">
        <f>IF(AND($T33="معتمد",$K33&gt;0),(IF('قياس الأداء للربع الأول'!$T32="معتمد",'قياس الأداء للربع الأول'!$M32,0)+IF('قياس الأداء للربع الثاني'!$Q32="معتمد",'قياس الأداء للربع الثاني'!$M32,0)+IF('قياس الأداء للربع الثالث'!$T33="معتمد",'قياس الأداء للربع الثالث'!$M33,0)+IF($T33="معتمد",$M33,0))/$K33,"")</f>
        <v/>
      </c>
      <c r="X33" s="40" t="str">
        <f t="shared" si="3"/>
        <v>ن3ن1-3نسبة رضا العاملين عن بيئة العمل نسبةكلما زاد كان أفضلربع سنويإستمارات قياس رضا العاملينإدارة الأداء و النمو00.880.85</v>
      </c>
    </row>
    <row r="34" spans="1:24" s="12" customFormat="1">
      <c r="A34" s="9" t="s">
        <v>210</v>
      </c>
      <c r="B34" s="9" t="s">
        <v>214</v>
      </c>
      <c r="C34" s="10" t="s">
        <v>215</v>
      </c>
      <c r="D34" s="10"/>
      <c r="E34" s="9" t="s">
        <v>29</v>
      </c>
      <c r="F34" s="9" t="s">
        <v>30</v>
      </c>
      <c r="G34" s="9" t="s">
        <v>31</v>
      </c>
      <c r="H34" s="9" t="s">
        <v>216</v>
      </c>
      <c r="I34" s="9" t="s">
        <v>193</v>
      </c>
      <c r="J34" s="9">
        <v>0</v>
      </c>
      <c r="K34" s="11">
        <v>70000</v>
      </c>
      <c r="L34" s="50">
        <v>20000</v>
      </c>
      <c r="M34" s="11"/>
      <c r="N34" s="73" t="str">
        <f t="shared" si="0"/>
        <v/>
      </c>
      <c r="O34" s="74" t="str">
        <f t="shared" si="1"/>
        <v/>
      </c>
      <c r="P34" s="73" t="str">
        <f t="shared" si="2"/>
        <v/>
      </c>
      <c r="Q34" s="17"/>
      <c r="R34" s="17"/>
      <c r="S34" s="17"/>
      <c r="T34" s="17"/>
      <c r="U34" s="17"/>
      <c r="V34" s="75" t="str">
        <f>IF($T34&lt;&gt;"معتمد","",IFERROR((IF(AND('قياس الأداء للربع الأول'!$T33="معتمد",'قياس الأداء للربع الأول'!$L33&gt;0),'قياس الأداء للربع الأول'!$M33,0)+IF(AND('قياس الأداء للربع الثاني'!$Q33="معتمد",'قياس الأداء للربع الثاني'!$L33&gt;0),'قياس الأداء للربع الثاني'!$M33,0)+IF(AND('قياس الأداء للربع الثالث'!$T34="معتمد",'قياس الأداء للربع الثالث'!$L34&gt;0),'قياس الأداء للربع الثالث'!$M34,0)+IF(AND($T34="معتمد",$L34&gt;0),$M34,0))/(IF(AND('قياس الأداء للربع الأول'!$T33="معتمد",'قياس الأداء للربع الأول'!$L33&gt;0),'قياس الأداء للربع الأول'!$L33,0)+IF(AND('قياس الأداء للربع الثاني'!$Q33="معتمد",'قياس الأداء للربع الثاني'!$L33&gt;0),'قياس الأداء للربع الثاني'!$L33,0)+IF(AND('قياس الأداء للربع الثالث'!$T34="معتمد",'قياس الأداء للربع الثالث'!$L34&gt;0),'قياس الأداء للربع الثالث'!$L34,0)+IF(AND($T34="معتمد",$L34&gt;0),$L34,0)),""))</f>
        <v/>
      </c>
      <c r="W34" s="75" t="str">
        <f>IF(AND($T34="معتمد",$K34&gt;0),(IF('قياس الأداء للربع الأول'!$T33="معتمد",'قياس الأداء للربع الأول'!$M33,0)+IF('قياس الأداء للربع الثاني'!$Q33="معتمد",'قياس الأداء للربع الثاني'!$M33,0)+IF('قياس الأداء للربع الثالث'!$T34="معتمد",'قياس الأداء للربع الثالث'!$M34,0)+IF($T34="معتمد",$M34,0))/$K34,"")</f>
        <v/>
      </c>
      <c r="X34" s="40" t="str">
        <f t="shared" si="3"/>
        <v>ن3ن2-3إجمالي تكلفة المبادرات التحفيزية للعاملين  ريالكلما زاد كان أفضلربع سنويتقرير بالمبادرات المنفذة لتحفيز العاملين وتكاليفها الماليةإدارة الأداء و النمو07000020000</v>
      </c>
    </row>
    <row r="35" spans="1:24" s="12" customFormat="1">
      <c r="A35" s="9" t="s">
        <v>220</v>
      </c>
      <c r="B35" s="9" t="s">
        <v>221</v>
      </c>
      <c r="C35" s="10" t="s">
        <v>222</v>
      </c>
      <c r="D35" s="10"/>
      <c r="E35" s="9" t="s">
        <v>223</v>
      </c>
      <c r="F35" s="9" t="s">
        <v>30</v>
      </c>
      <c r="G35" s="9" t="s">
        <v>31</v>
      </c>
      <c r="H35" s="9" t="s">
        <v>224</v>
      </c>
      <c r="I35" s="9" t="s">
        <v>225</v>
      </c>
      <c r="J35" s="9">
        <v>0</v>
      </c>
      <c r="K35" s="11">
        <v>1</v>
      </c>
      <c r="L35" s="54">
        <v>1</v>
      </c>
      <c r="M35" s="11"/>
      <c r="N35" s="73" t="str">
        <f t="shared" ref="N35:N66" si="4">IF(AND($T35="معتمد",$L35&gt;0),$M35/$L35,"")</f>
        <v/>
      </c>
      <c r="O35" s="74" t="str">
        <f t="shared" ref="O35:O66" si="5">IF($T35="معتمد",$M35-$L35,"")</f>
        <v/>
      </c>
      <c r="P35" s="73" t="str">
        <f t="shared" ref="P35:P66" si="6">IF(AND($T35="معتمد",$L35&gt;0),($M35-$L35)/$L35,"")</f>
        <v/>
      </c>
      <c r="Q35" s="13"/>
      <c r="R35" s="13"/>
      <c r="S35" s="13"/>
      <c r="T35" s="13"/>
      <c r="U35" s="13"/>
      <c r="V35" s="75" t="str">
        <f>IF($T35&lt;&gt;"معتمد","",IFERROR((IF(AND('قياس الأداء للربع الأول'!$T34="معتمد",'قياس الأداء للربع الأول'!$L34&gt;0),'قياس الأداء للربع الأول'!$M34,0)+IF(AND('قياس الأداء للربع الثاني'!$Q34="معتمد",'قياس الأداء للربع الثاني'!$L34&gt;0),'قياس الأداء للربع الثاني'!$M34,0)+IF(AND('قياس الأداء للربع الثالث'!$T35="معتمد",'قياس الأداء للربع الثالث'!$L35&gt;0),'قياس الأداء للربع الثالث'!$M35,0)+IF(AND($T35="معتمد",$L35&gt;0),$M35,0))/(IF(AND('قياس الأداء للربع الأول'!$T34="معتمد",'قياس الأداء للربع الأول'!$L34&gt;0),'قياس الأداء للربع الأول'!$L34,0)+IF(AND('قياس الأداء للربع الثاني'!$Q34="معتمد",'قياس الأداء للربع الثاني'!$L34&gt;0),'قياس الأداء للربع الثاني'!$L34,0)+IF(AND('قياس الأداء للربع الثالث'!$T35="معتمد",'قياس الأداء للربع الثالث'!$L35&gt;0),'قياس الأداء للربع الثالث'!$L35,0)+IF(AND($T35="معتمد",$L35&gt;0),$L35,0)),""))</f>
        <v/>
      </c>
      <c r="W35" s="75" t="str">
        <f>IF(AND($T35="معتمد",$K35&gt;0),(IF('قياس الأداء للربع الأول'!$T34="معتمد",'قياس الأداء للربع الأول'!$M34,0)+IF('قياس الأداء للربع الثاني'!$Q34="معتمد",'قياس الأداء للربع الثاني'!$M34,0)+IF('قياس الأداء للربع الثالث'!$T35="معتمد",'قياس الأداء للربع الثالث'!$M35,0)+IF($T35="معتمد",$M35,0))/$K35,"")</f>
        <v/>
      </c>
      <c r="X35" s="40" t="str">
        <f t="shared" ref="X35:X66" si="7">A35&amp;B35&amp;C35&amp;D35&amp;E35&amp;F35&amp;G35&amp;H35&amp;I35&amp;J35&amp;K35&amp;L35&amp;M35&amp;N35&amp;O35&amp;P35&amp;Q35&amp;R35&amp;S35&amp;T35&amp;U35&amp;V35&amp;W35</f>
        <v>ن4ن1-4نسبة إكتمال اللوائح والسياساتلائحة،سياسةكلما زاد كان أفضلربع سنويقائمة باللوائح المعتمدة للبناء مع توضيح المنجز منهاجميع الإدارات011</v>
      </c>
    </row>
    <row r="36" spans="1:24" s="12" customFormat="1">
      <c r="A36" s="9" t="s">
        <v>220</v>
      </c>
      <c r="B36" s="9" t="s">
        <v>226</v>
      </c>
      <c r="C36" s="10" t="s">
        <v>227</v>
      </c>
      <c r="D36" s="10"/>
      <c r="E36" s="9" t="s">
        <v>228</v>
      </c>
      <c r="F36" s="9" t="s">
        <v>30</v>
      </c>
      <c r="G36" s="9" t="s">
        <v>229</v>
      </c>
      <c r="H36" s="9" t="s">
        <v>230</v>
      </c>
      <c r="I36" s="9" t="s">
        <v>193</v>
      </c>
      <c r="J36" s="9">
        <v>0</v>
      </c>
      <c r="K36" s="11">
        <v>1</v>
      </c>
      <c r="L36" s="54">
        <v>1</v>
      </c>
      <c r="M36" s="11"/>
      <c r="N36" s="73" t="str">
        <f t="shared" si="4"/>
        <v/>
      </c>
      <c r="O36" s="74" t="str">
        <f t="shared" si="5"/>
        <v/>
      </c>
      <c r="P36" s="73" t="str">
        <f t="shared" si="6"/>
        <v/>
      </c>
      <c r="Q36" s="13"/>
      <c r="R36" s="13"/>
      <c r="S36" s="13"/>
      <c r="T36" s="13"/>
      <c r="U36" s="13"/>
      <c r="V36" s="75" t="str">
        <f>IF($T36&lt;&gt;"معتمد","",IFERROR((IF(AND('قياس الأداء للربع الأول'!$T35="معتمد",'قياس الأداء للربع الأول'!$L35&gt;0),'قياس الأداء للربع الأول'!$M35,0)+IF(AND('قياس الأداء للربع الثاني'!$Q35="معتمد",'قياس الأداء للربع الثاني'!$L35&gt;0),'قياس الأداء للربع الثاني'!$M35,0)+IF(AND('قياس الأداء للربع الثالث'!$T36="معتمد",'قياس الأداء للربع الثالث'!$L36&gt;0),'قياس الأداء للربع الثالث'!$M36,0)+IF(AND($T36="معتمد",$L36&gt;0),$M36,0))/(IF(AND('قياس الأداء للربع الأول'!$T35="معتمد",'قياس الأداء للربع الأول'!$L35&gt;0),'قياس الأداء للربع الأول'!$L35,0)+IF(AND('قياس الأداء للربع الثاني'!$Q35="معتمد",'قياس الأداء للربع الثاني'!$L35&gt;0),'قياس الأداء للربع الثاني'!$L35,0)+IF(AND('قياس الأداء للربع الثالث'!$T36="معتمد",'قياس الأداء للربع الثالث'!$L36&gt;0),'قياس الأداء للربع الثالث'!$L36,0)+IF(AND($T36="معتمد",$L36&gt;0),$L36,0)),""))</f>
        <v/>
      </c>
      <c r="W36" s="75" t="str">
        <f>IF(AND($T36="معتمد",$K36&gt;0),(IF('قياس الأداء للربع الأول'!$T35="معتمد",'قياس الأداء للربع الأول'!$M35,0)+IF('قياس الأداء للربع الثاني'!$Q35="معتمد",'قياس الأداء للربع الثاني'!$M35,0)+IF('قياس الأداء للربع الثالث'!$T36="معتمد",'قياس الأداء للربع الثالث'!$M36,0)+IF($T36="معتمد",$M36,0))/$K36,"")</f>
        <v/>
      </c>
      <c r="X36" s="40" t="str">
        <f t="shared" si="7"/>
        <v>ن4ن2-4الدرجة المتحصلة في معايير الحوكمةدرجةكلما زاد كان أفضلسنويتقرير قياس المعيارإدارة الأداء و النمو011</v>
      </c>
    </row>
    <row r="37" spans="1:24" s="12" customFormat="1">
      <c r="A37" s="9" t="s">
        <v>231</v>
      </c>
      <c r="B37" s="9" t="s">
        <v>232</v>
      </c>
      <c r="C37" s="10" t="s">
        <v>233</v>
      </c>
      <c r="D37" s="10"/>
      <c r="E37" s="9" t="s">
        <v>60</v>
      </c>
      <c r="F37" s="9" t="s">
        <v>30</v>
      </c>
      <c r="G37" s="21" t="s">
        <v>31</v>
      </c>
      <c r="H37" s="9" t="s">
        <v>234</v>
      </c>
      <c r="I37" s="22" t="s">
        <v>140</v>
      </c>
      <c r="J37" s="9">
        <v>0</v>
      </c>
      <c r="K37" s="18">
        <v>4</v>
      </c>
      <c r="L37" s="51">
        <v>0</v>
      </c>
      <c r="M37" s="18"/>
      <c r="N37" s="73" t="str">
        <f t="shared" si="4"/>
        <v/>
      </c>
      <c r="O37" s="78" t="str">
        <f t="shared" si="5"/>
        <v/>
      </c>
      <c r="P37" s="79" t="str">
        <f t="shared" si="6"/>
        <v/>
      </c>
      <c r="Q37" s="9"/>
      <c r="R37" s="9"/>
      <c r="S37" s="9"/>
      <c r="T37" s="9"/>
      <c r="U37" s="9"/>
      <c r="V37" s="75" t="str">
        <f>IF($T37&lt;&gt;"معتمد","",IFERROR((IF(AND('قياس الأداء للربع الأول'!$T36="معتمد",'قياس الأداء للربع الأول'!$L36&gt;0),'قياس الأداء للربع الأول'!$M36,0)+IF(AND('قياس الأداء للربع الثاني'!$Q36="معتمد",'قياس الأداء للربع الثاني'!$L36&gt;0),'قياس الأداء للربع الثاني'!$M36,0)+IF(AND('قياس الأداء للربع الثالث'!$T37="معتمد",'قياس الأداء للربع الثالث'!$L37&gt;0),'قياس الأداء للربع الثالث'!$M37,0)+IF(AND($T37="معتمد",$L37&gt;0),$M37,0))/(IF(AND('قياس الأداء للربع الأول'!$T36="معتمد",'قياس الأداء للربع الأول'!$L36&gt;0),'قياس الأداء للربع الأول'!$L36,0)+IF(AND('قياس الأداء للربع الثاني'!$Q36="معتمد",'قياس الأداء للربع الثاني'!$L36&gt;0),'قياس الأداء للربع الثاني'!$L36,0)+IF(AND('قياس الأداء للربع الثالث'!$T37="معتمد",'قياس الأداء للربع الثالث'!$L37&gt;0),'قياس الأداء للربع الثالث'!$L37,0)+IF(AND($T37="معتمد",$L37&gt;0),$L37,0)),""))</f>
        <v/>
      </c>
      <c r="W37" s="75" t="str">
        <f>IF(AND($T37="معتمد",$K37&gt;0),(IF('قياس الأداء للربع الأول'!$T36="معتمد",'قياس الأداء للربع الأول'!$M36,0)+IF('قياس الأداء للربع الثاني'!$Q36="معتمد",'قياس الأداء للربع الثاني'!$M36,0)+IF('قياس الأداء للربع الثالث'!$T37="معتمد",'قياس الأداء للربع الثالث'!$M37,0)+IF($T37="معتمد",$M37,0))/$K37,"")</f>
        <v/>
      </c>
      <c r="X37" s="40" t="str">
        <f t="shared" si="7"/>
        <v>ن5ن1-5عدد المبادرات المنفذة في تطوير إدارة المعرفةمبادرةكلما زاد كان أفضلربع سنويقائمة بمبادرات إدارة المعرفة المنفذةإدارة الشؤون المالية و الإدارية،إدارة الأداء و النمو040</v>
      </c>
    </row>
    <row r="38" spans="1:24" s="12" customFormat="1">
      <c r="A38" s="23" t="s">
        <v>235</v>
      </c>
      <c r="B38" s="23" t="s">
        <v>236</v>
      </c>
      <c r="C38" s="15" t="s">
        <v>237</v>
      </c>
      <c r="D38" s="24"/>
      <c r="E38" s="25" t="s">
        <v>37</v>
      </c>
      <c r="F38" s="23" t="s">
        <v>30</v>
      </c>
      <c r="G38" s="15" t="s">
        <v>31</v>
      </c>
      <c r="H38" s="26" t="s">
        <v>423</v>
      </c>
      <c r="I38" s="9" t="s">
        <v>193</v>
      </c>
      <c r="J38" s="23">
        <v>0</v>
      </c>
      <c r="K38" s="27">
        <v>30</v>
      </c>
      <c r="L38" s="55">
        <v>3</v>
      </c>
      <c r="M38" s="28"/>
      <c r="N38" s="73" t="str">
        <f t="shared" si="4"/>
        <v/>
      </c>
      <c r="O38" s="80" t="str">
        <f t="shared" si="5"/>
        <v/>
      </c>
      <c r="P38" s="81" t="str">
        <f t="shared" si="6"/>
        <v/>
      </c>
      <c r="Q38" s="29"/>
      <c r="R38" s="29"/>
      <c r="S38" s="29"/>
      <c r="T38" s="29"/>
      <c r="U38" s="29"/>
      <c r="V38" s="82" t="str">
        <f>IF($T38&lt;&gt;"معتمد","",IFERROR((IF(AND('قياس الأداء للربع الأول'!$T37="معتمد",'قياس الأداء للربع الأول'!$L37&gt;0),'قياس الأداء للربع الأول'!$M37,0)+IF(AND('قياس الأداء للربع الثاني'!$Q37="معتمد",'قياس الأداء للربع الثاني'!$L37&gt;0),'قياس الأداء للربع الثاني'!$M37,0)+IF(AND('قياس الأداء للربع الثالث'!$T38="معتمد",'قياس الأداء للربع الثالث'!$L38&gt;0),'قياس الأداء للربع الثالث'!$M38,0)+IF(AND($T38="معتمد",$L38&gt;0),$M38,0))/(IF(AND('قياس الأداء للربع الأول'!$T37="معتمد",'قياس الأداء للربع الأول'!$L37&gt;0),'قياس الأداء للربع الأول'!$L37,0)+IF(AND('قياس الأداء للربع الثاني'!$Q37="معتمد",'قياس الأداء للربع الثاني'!$L37&gt;0),'قياس الأداء للربع الثاني'!$L37,0)+IF(AND('قياس الأداء للربع الثالث'!$T38="معتمد",'قياس الأداء للربع الثالث'!$L38&gt;0),'قياس الأداء للربع الثالث'!$L38,0)+IF(AND($T38="معتمد",$L38&gt;0),$L38,0)),""))</f>
        <v/>
      </c>
      <c r="W38" s="83" t="str">
        <f>IF(AND($T38="معتمد",$K38&gt;0),(IF('قياس الأداء للربع الأول'!$T37="معتمد",'قياس الأداء للربع الأول'!$M37,0)+IF('قياس الأداء للربع الثاني'!$Q37="معتمد",'قياس الأداء للربع الثاني'!$M37,0)+IF('قياس الأداء للربع الثالث'!$T38="معتمد",'قياس الأداء للربع الثالث'!$M38,0)+IF($T38="معتمد",$M38,0))/$K38,"")</f>
        <v/>
      </c>
      <c r="X38" s="40" t="str">
        <f t="shared" si="7"/>
        <v>FIN-01FIN-01-KPI-01نسبة إشغال العقارات الاستثماريةنسبةكلما زاد كان أفضلربع سنويتقريرإدارة الأداء و النمو0303</v>
      </c>
    </row>
    <row r="39" spans="1:24" s="12" customFormat="1">
      <c r="A39" s="23" t="s">
        <v>240</v>
      </c>
      <c r="B39" s="23" t="s">
        <v>241</v>
      </c>
      <c r="C39" s="15" t="s">
        <v>242</v>
      </c>
      <c r="D39" s="24"/>
      <c r="E39" s="25" t="s">
        <v>37</v>
      </c>
      <c r="F39" s="23" t="s">
        <v>30</v>
      </c>
      <c r="G39" s="15" t="s">
        <v>31</v>
      </c>
      <c r="H39" s="26" t="s">
        <v>423</v>
      </c>
      <c r="I39" s="9" t="s">
        <v>193</v>
      </c>
      <c r="J39" s="23">
        <v>0</v>
      </c>
      <c r="K39" s="27">
        <v>100000</v>
      </c>
      <c r="L39" s="56">
        <v>20000</v>
      </c>
      <c r="M39" s="28"/>
      <c r="N39" s="73" t="str">
        <f t="shared" si="4"/>
        <v/>
      </c>
      <c r="O39" s="80" t="str">
        <f t="shared" si="5"/>
        <v/>
      </c>
      <c r="P39" s="81" t="str">
        <f t="shared" si="6"/>
        <v/>
      </c>
      <c r="Q39" s="29"/>
      <c r="R39" s="29"/>
      <c r="S39" s="29"/>
      <c r="T39" s="29"/>
      <c r="U39" s="29"/>
      <c r="V39" s="82" t="str">
        <f>IF($T39&lt;&gt;"معتمد","",IFERROR((IF(AND('قياس الأداء للربع الأول'!$T38="معتمد",'قياس الأداء للربع الأول'!$L38&gt;0),'قياس الأداء للربع الأول'!$M38,0)+IF(AND('قياس الأداء للربع الثاني'!$Q38="معتمد",'قياس الأداء للربع الثاني'!$L38&gt;0),'قياس الأداء للربع الثاني'!$M38,0)+IF(AND('قياس الأداء للربع الثالث'!$T39="معتمد",'قياس الأداء للربع الثالث'!$L39&gt;0),'قياس الأداء للربع الثالث'!$M39,0)+IF(AND($T39="معتمد",$L39&gt;0),$M39,0))/(IF(AND('قياس الأداء للربع الأول'!$T38="معتمد",'قياس الأداء للربع الأول'!$L38&gt;0),'قياس الأداء للربع الأول'!$L38,0)+IF(AND('قياس الأداء للربع الثاني'!$Q38="معتمد",'قياس الأداء للربع الثاني'!$L38&gt;0),'قياس الأداء للربع الثاني'!$L38,0)+IF(AND('قياس الأداء للربع الثالث'!$T39="معتمد",'قياس الأداء للربع الثالث'!$L39&gt;0),'قياس الأداء للربع الثالث'!$L39,0)+IF(AND($T39="معتمد",$L39&gt;0),$L39,0)),""))</f>
        <v/>
      </c>
      <c r="W39" s="83" t="str">
        <f>IF(AND($T39="معتمد",$K39&gt;0),(IF('قياس الأداء للربع الأول'!$T38="معتمد",'قياس الأداء للربع الأول'!$M38,0)+IF('قياس الأداء للربع الثاني'!$Q38="معتمد",'قياس الأداء للربع الثاني'!$M38,0)+IF('قياس الأداء للربع الثالث'!$T39="معتمد",'قياس الأداء للربع الثالث'!$M39,0)+IF($T39="معتمد",$M39,0))/$K39,"")</f>
        <v/>
      </c>
      <c r="X39" s="40" t="str">
        <f t="shared" si="7"/>
        <v>FIN-02FIN-02-KPI-01نسبة تحصيل المستحقات الماليةنسبةكلما زاد كان أفضلربع سنويتقريرإدارة الأداء و النمو010000020000</v>
      </c>
    </row>
    <row r="40" spans="1:24" s="12" customFormat="1">
      <c r="A40" s="23" t="s">
        <v>244</v>
      </c>
      <c r="B40" s="23" t="s">
        <v>245</v>
      </c>
      <c r="C40" s="15" t="s">
        <v>246</v>
      </c>
      <c r="D40" s="24"/>
      <c r="E40" s="25" t="s">
        <v>37</v>
      </c>
      <c r="F40" s="23" t="s">
        <v>30</v>
      </c>
      <c r="G40" s="15" t="s">
        <v>31</v>
      </c>
      <c r="H40" s="26" t="s">
        <v>423</v>
      </c>
      <c r="I40" s="9" t="s">
        <v>193</v>
      </c>
      <c r="J40" s="23">
        <v>0</v>
      </c>
      <c r="K40" s="27">
        <v>0</v>
      </c>
      <c r="L40" s="57">
        <v>0</v>
      </c>
      <c r="M40" s="28"/>
      <c r="N40" s="73" t="str">
        <f t="shared" si="4"/>
        <v/>
      </c>
      <c r="O40" s="80" t="str">
        <f t="shared" si="5"/>
        <v/>
      </c>
      <c r="P40" s="81" t="str">
        <f t="shared" si="6"/>
        <v/>
      </c>
      <c r="Q40" s="29"/>
      <c r="R40" s="29"/>
      <c r="S40" s="29"/>
      <c r="T40" s="29"/>
      <c r="U40" s="29"/>
      <c r="V40" s="82" t="str">
        <f>IF($T40&lt;&gt;"معتمد","",IFERROR((IF(AND('قياس الأداء للربع الأول'!$T39="معتمد",'قياس الأداء للربع الأول'!$L39&gt;0),'قياس الأداء للربع الأول'!$M39,0)+IF(AND('قياس الأداء للربع الثاني'!$Q39="معتمد",'قياس الأداء للربع الثاني'!$L39&gt;0),'قياس الأداء للربع الثاني'!$M39,0)+IF(AND('قياس الأداء للربع الثالث'!$T40="معتمد",'قياس الأداء للربع الثالث'!$L40&gt;0),'قياس الأداء للربع الثالث'!$M40,0)+IF(AND($T40="معتمد",$L40&gt;0),$M40,0))/(IF(AND('قياس الأداء للربع الأول'!$T39="معتمد",'قياس الأداء للربع الأول'!$L39&gt;0),'قياس الأداء للربع الأول'!$L39,0)+IF(AND('قياس الأداء للربع الثاني'!$Q39="معتمد",'قياس الأداء للربع الثاني'!$L39&gt;0),'قياس الأداء للربع الثاني'!$L39,0)+IF(AND('قياس الأداء للربع الثالث'!$T40="معتمد",'قياس الأداء للربع الثالث'!$L40&gt;0),'قياس الأداء للربع الثالث'!$L40,0)+IF(AND($T40="معتمد",$L40&gt;0),$L40,0)),""))</f>
        <v/>
      </c>
      <c r="W40" s="83" t="str">
        <f>IF(AND($T40="معتمد",$K40&gt;0),(IF('قياس الأداء للربع الأول'!$T39="معتمد",'قياس الأداء للربع الأول'!$M39,0)+IF('قياس الأداء للربع الثاني'!$Q39="معتمد",'قياس الأداء للربع الثاني'!$M39,0)+IF('قياس الأداء للربع الثالث'!$T40="معتمد",'قياس الأداء للربع الثالث'!$M40,0)+IF($T40="معتمد",$M40,0))/$K40,"")</f>
        <v/>
      </c>
      <c r="X40" s="40" t="str">
        <f t="shared" si="7"/>
        <v>GOV-01GOV-01-KPI-01نسبة الالتزام بزمن تقديم الاستشارات القانونيةنسبةكلما زاد كان أفضلربع سنويتقريرإدارة الأداء و النمو000</v>
      </c>
    </row>
    <row r="41" spans="1:24" ht="15.75" customHeight="1">
      <c r="A41" s="23" t="s">
        <v>248</v>
      </c>
      <c r="B41" s="23" t="s">
        <v>249</v>
      </c>
      <c r="C41" s="15" t="s">
        <v>250</v>
      </c>
      <c r="D41" s="24"/>
      <c r="E41" s="25" t="s">
        <v>37</v>
      </c>
      <c r="F41" s="23" t="s">
        <v>30</v>
      </c>
      <c r="G41" s="15" t="s">
        <v>31</v>
      </c>
      <c r="H41" s="26" t="s">
        <v>423</v>
      </c>
      <c r="I41" s="9" t="s">
        <v>193</v>
      </c>
      <c r="J41" s="23">
        <v>0</v>
      </c>
      <c r="K41" s="27">
        <v>12</v>
      </c>
      <c r="L41" s="58">
        <v>3</v>
      </c>
      <c r="M41" s="28"/>
      <c r="N41" s="73" t="str">
        <f t="shared" si="4"/>
        <v/>
      </c>
      <c r="O41" s="80" t="str">
        <f t="shared" si="5"/>
        <v/>
      </c>
      <c r="P41" s="81" t="str">
        <f t="shared" si="6"/>
        <v/>
      </c>
      <c r="Q41" s="29"/>
      <c r="R41" s="29"/>
      <c r="S41" s="29"/>
      <c r="T41" s="29"/>
      <c r="U41" s="29"/>
      <c r="V41" s="82" t="str">
        <f>IF($T41&lt;&gt;"معتمد","",IFERROR((IF(AND('قياس الأداء للربع الأول'!$T40="معتمد",'قياس الأداء للربع الأول'!$L40&gt;0),'قياس الأداء للربع الأول'!$M40,0)+IF(AND('قياس الأداء للربع الثاني'!$Q40="معتمد",'قياس الأداء للربع الثاني'!$L40&gt;0),'قياس الأداء للربع الثاني'!$M40,0)+IF(AND('قياس الأداء للربع الثالث'!$T41="معتمد",'قياس الأداء للربع الثالث'!$L41&gt;0),'قياس الأداء للربع الثالث'!$M41,0)+IF(AND($T41="معتمد",$L41&gt;0),$M41,0))/(IF(AND('قياس الأداء للربع الأول'!$T40="معتمد",'قياس الأداء للربع الأول'!$L40&gt;0),'قياس الأداء للربع الأول'!$L40,0)+IF(AND('قياس الأداء للربع الثاني'!$Q40="معتمد",'قياس الأداء للربع الثاني'!$L40&gt;0),'قياس الأداء للربع الثاني'!$L40,0)+IF(AND('قياس الأداء للربع الثالث'!$T41="معتمد",'قياس الأداء للربع الثالث'!$L41&gt;0),'قياس الأداء للربع الثالث'!$L41,0)+IF(AND($T41="معتمد",$L41&gt;0),$L41,0)),""))</f>
        <v/>
      </c>
      <c r="W41" s="83" t="str">
        <f>IF(AND($T41="معتمد",$K41&gt;0),(IF('قياس الأداء للربع الأول'!$T40="معتمد",'قياس الأداء للربع الأول'!$M40,0)+IF('قياس الأداء للربع الثاني'!$Q40="معتمد",'قياس الأداء للربع الثاني'!$M40,0)+IF('قياس الأداء للربع الثالث'!$T41="معتمد",'قياس الأداء للربع الثالث'!$M41,0)+IF($T41="معتمد",$M41,0))/$K41,"")</f>
        <v/>
      </c>
      <c r="X41" s="40" t="str">
        <f t="shared" si="7"/>
        <v>OPS-01OPS-01-KPI-01نسبة دقة سجلات المخزوننسبةكلما زاد كان أفضلربع سنويتقريرإدارة الأداء و النمو0123</v>
      </c>
    </row>
    <row r="42" spans="1:24" ht="15" customHeight="1">
      <c r="A42" s="23" t="s">
        <v>240</v>
      </c>
      <c r="B42" s="23" t="s">
        <v>252</v>
      </c>
      <c r="C42" s="15" t="s">
        <v>253</v>
      </c>
      <c r="D42" s="24"/>
      <c r="E42" s="25" t="s">
        <v>37</v>
      </c>
      <c r="F42" s="23" t="s">
        <v>30</v>
      </c>
      <c r="G42" s="15" t="s">
        <v>31</v>
      </c>
      <c r="H42" s="26" t="s">
        <v>423</v>
      </c>
      <c r="I42" s="9" t="s">
        <v>193</v>
      </c>
      <c r="J42" s="23">
        <v>0</v>
      </c>
      <c r="K42" s="27">
        <v>0</v>
      </c>
      <c r="L42" s="59">
        <v>0</v>
      </c>
      <c r="M42" s="28"/>
      <c r="N42" s="73" t="str">
        <f t="shared" si="4"/>
        <v/>
      </c>
      <c r="O42" s="80" t="str">
        <f t="shared" si="5"/>
        <v/>
      </c>
      <c r="P42" s="81" t="str">
        <f t="shared" si="6"/>
        <v/>
      </c>
      <c r="Q42" s="29"/>
      <c r="R42" s="29"/>
      <c r="S42" s="29"/>
      <c r="T42" s="29"/>
      <c r="U42" s="29"/>
      <c r="V42" s="82" t="str">
        <f>IF($T42&lt;&gt;"معتمد","",IFERROR((IF(AND('قياس الأداء للربع الأول'!$T41="معتمد",'قياس الأداء للربع الأول'!$L41&gt;0),'قياس الأداء للربع الأول'!$M41,0)+IF(AND('قياس الأداء للربع الثاني'!$Q41="معتمد",'قياس الأداء للربع الثاني'!$L41&gt;0),'قياس الأداء للربع الثاني'!$M41,0)+IF(AND('قياس الأداء للربع الثالث'!$T42="معتمد",'قياس الأداء للربع الثالث'!$L42&gt;0),'قياس الأداء للربع الثالث'!$M42,0)+IF(AND($T42="معتمد",$L42&gt;0),$M42,0))/(IF(AND('قياس الأداء للربع الأول'!$T41="معتمد",'قياس الأداء للربع الأول'!$L41&gt;0),'قياس الأداء للربع الأول'!$L41,0)+IF(AND('قياس الأداء للربع الثاني'!$Q41="معتمد",'قياس الأداء للربع الثاني'!$L41&gt;0),'قياس الأداء للربع الثاني'!$L41,0)+IF(AND('قياس الأداء للربع الثالث'!$T42="معتمد",'قياس الأداء للربع الثالث'!$L42&gt;0),'قياس الأداء للربع الثالث'!$L42,0)+IF(AND($T42="معتمد",$L42&gt;0),$L42,0)),""))</f>
        <v/>
      </c>
      <c r="W42" s="83" t="str">
        <f>IF(AND($T42="معتمد",$K42&gt;0),(IF('قياس الأداء للربع الأول'!$T41="معتمد",'قياس الأداء للربع الأول'!$M41,0)+IF('قياس الأداء للربع الثاني'!$Q41="معتمد",'قياس الأداء للربع الثاني'!$M41,0)+IF('قياس الأداء للربع الثالث'!$T42="معتمد",'قياس الأداء للربع الثالث'!$M42,0)+IF($T42="معتمد",$M42,0))/$K42,"")</f>
        <v/>
      </c>
      <c r="X42" s="40" t="str">
        <f t="shared" si="7"/>
        <v>FIN-02FIN-02-KPI-02متوسط مدة معالجة الطلبات الماليةنسبةكلما زاد كان أفضلربع سنويتقريرإدارة الأداء و النمو000</v>
      </c>
    </row>
    <row r="43" spans="1:24" ht="15" customHeight="1">
      <c r="A43" s="23" t="s">
        <v>255</v>
      </c>
      <c r="B43" s="23" t="s">
        <v>256</v>
      </c>
      <c r="C43" s="15" t="s">
        <v>257</v>
      </c>
      <c r="D43" s="24"/>
      <c r="E43" s="25" t="s">
        <v>37</v>
      </c>
      <c r="F43" s="23" t="s">
        <v>30</v>
      </c>
      <c r="G43" s="15" t="s">
        <v>31</v>
      </c>
      <c r="H43" s="26" t="s">
        <v>423</v>
      </c>
      <c r="I43" s="9" t="s">
        <v>193</v>
      </c>
      <c r="J43" s="23">
        <v>0</v>
      </c>
      <c r="K43" s="27">
        <v>0</v>
      </c>
      <c r="L43" s="60">
        <v>0</v>
      </c>
      <c r="M43" s="28"/>
      <c r="N43" s="73" t="str">
        <f t="shared" si="4"/>
        <v/>
      </c>
      <c r="O43" s="80" t="str">
        <f t="shared" si="5"/>
        <v/>
      </c>
      <c r="P43" s="81" t="str">
        <f t="shared" si="6"/>
        <v/>
      </c>
      <c r="Q43" s="29"/>
      <c r="R43" s="29"/>
      <c r="S43" s="29"/>
      <c r="T43" s="29"/>
      <c r="U43" s="29"/>
      <c r="V43" s="82" t="str">
        <f>IF($T43&lt;&gt;"معتمد","",IFERROR((IF(AND('قياس الأداء للربع الأول'!$T42="معتمد",'قياس الأداء للربع الأول'!$L42&gt;0),'قياس الأداء للربع الأول'!$M42,0)+IF(AND('قياس الأداء للربع الثاني'!$Q42="معتمد",'قياس الأداء للربع الثاني'!$L42&gt;0),'قياس الأداء للربع الثاني'!$M42,0)+IF(AND('قياس الأداء للربع الثالث'!$T43="معتمد",'قياس الأداء للربع الثالث'!$L43&gt;0),'قياس الأداء للربع الثالث'!$M43,0)+IF(AND($T43="معتمد",$L43&gt;0),$M43,0))/(IF(AND('قياس الأداء للربع الأول'!$T42="معتمد",'قياس الأداء للربع الأول'!$L42&gt;0),'قياس الأداء للربع الأول'!$L42,0)+IF(AND('قياس الأداء للربع الثاني'!$Q42="معتمد",'قياس الأداء للربع الثاني'!$L42&gt;0),'قياس الأداء للربع الثاني'!$L42,0)+IF(AND('قياس الأداء للربع الثالث'!$T43="معتمد",'قياس الأداء للربع الثالث'!$L43&gt;0),'قياس الأداء للربع الثالث'!$L43,0)+IF(AND($T43="معتمد",$L43&gt;0),$L43,0)),""))</f>
        <v/>
      </c>
      <c r="W43" s="83" t="str">
        <f>IF(AND($T43="معتمد",$K43&gt;0),(IF('قياس الأداء للربع الأول'!$T42="معتمد",'قياس الأداء للربع الأول'!$M42,0)+IF('قياس الأداء للربع الثاني'!$Q42="معتمد",'قياس الأداء للربع الثاني'!$M42,0)+IF('قياس الأداء للربع الثالث'!$T43="معتمد",'قياس الأداء للربع الثالث'!$M43,0)+IF($T43="معتمد",$M43,0))/$K43,"")</f>
        <v/>
      </c>
      <c r="X43" s="40" t="str">
        <f t="shared" si="7"/>
        <v>FIN-03FIN-03-KPI-01نسبة الالتزام بمعيار السلامة الماليةنسبةكلما زاد كان أفضلربع سنويتقريرإدارة الأداء و النمو000</v>
      </c>
    </row>
    <row r="44" spans="1:24" ht="15" customHeight="1">
      <c r="A44" s="23" t="s">
        <v>259</v>
      </c>
      <c r="B44" s="23" t="s">
        <v>260</v>
      </c>
      <c r="C44" s="15" t="s">
        <v>261</v>
      </c>
      <c r="D44" s="24"/>
      <c r="E44" s="25" t="s">
        <v>157</v>
      </c>
      <c r="F44" s="23" t="s">
        <v>30</v>
      </c>
      <c r="G44" s="15" t="s">
        <v>31</v>
      </c>
      <c r="H44" s="26" t="s">
        <v>423</v>
      </c>
      <c r="I44" s="9" t="s">
        <v>193</v>
      </c>
      <c r="J44" s="23">
        <v>0</v>
      </c>
      <c r="K44" s="27">
        <v>4</v>
      </c>
      <c r="L44" s="55">
        <v>1</v>
      </c>
      <c r="M44" s="28"/>
      <c r="N44" s="73" t="str">
        <f t="shared" si="4"/>
        <v/>
      </c>
      <c r="O44" s="80" t="str">
        <f t="shared" si="5"/>
        <v/>
      </c>
      <c r="P44" s="81" t="str">
        <f t="shared" si="6"/>
        <v/>
      </c>
      <c r="Q44" s="29"/>
      <c r="R44" s="29"/>
      <c r="S44" s="29"/>
      <c r="T44" s="29"/>
      <c r="U44" s="29"/>
      <c r="V44" s="82" t="str">
        <f>IF($T44&lt;&gt;"معتمد","",IFERROR((IF(AND('قياس الأداء للربع الأول'!$T43="معتمد",'قياس الأداء للربع الأول'!$L43&gt;0),'قياس الأداء للربع الأول'!$M43,0)+IF(AND('قياس الأداء للربع الثاني'!$Q43="معتمد",'قياس الأداء للربع الثاني'!$L43&gt;0),'قياس الأداء للربع الثاني'!$M43,0)+IF(AND('قياس الأداء للربع الثالث'!$T44="معتمد",'قياس الأداء للربع الثالث'!$L44&gt;0),'قياس الأداء للربع الثالث'!$M44,0)+IF(AND($T44="معتمد",$L44&gt;0),$M44,0))/(IF(AND('قياس الأداء للربع الأول'!$T43="معتمد",'قياس الأداء للربع الأول'!$L43&gt;0),'قياس الأداء للربع الأول'!$L43,0)+IF(AND('قياس الأداء للربع الثاني'!$Q43="معتمد",'قياس الأداء للربع الثاني'!$L43&gt;0),'قياس الأداء للربع الثاني'!$L43,0)+IF(AND('قياس الأداء للربع الثالث'!$T44="معتمد",'قياس الأداء للربع الثالث'!$L44&gt;0),'قياس الأداء للربع الثالث'!$L44,0)+IF(AND($T44="معتمد",$L44&gt;0),$L44,0)),""))</f>
        <v/>
      </c>
      <c r="W44" s="83" t="str">
        <f>IF(AND($T44="معتمد",$K44&gt;0),(IF('قياس الأداء للربع الأول'!$T43="معتمد",'قياس الأداء للربع الأول'!$M43,0)+IF('قياس الأداء للربع الثاني'!$Q43="معتمد",'قياس الأداء للربع الثاني'!$M43,0)+IF('قياس الأداء للربع الثالث'!$T44="معتمد",'قياس الأداء للربع الثالث'!$M44,0)+IF($T44="معتمد",$M44,0))/$K44,"")</f>
        <v/>
      </c>
      <c r="X44" s="40" t="str">
        <f t="shared" si="7"/>
        <v>FIN-04FIN-04-KPI-01الالتزام بإعداد وعرض التقرير المالي الربعيعددكلما زاد كان أفضلربع سنويتقريرإدارة الأداء و النمو041</v>
      </c>
    </row>
    <row r="45" spans="1:24" ht="15" customHeight="1">
      <c r="A45" s="23" t="s">
        <v>263</v>
      </c>
      <c r="B45" s="23" t="s">
        <v>264</v>
      </c>
      <c r="C45" s="15" t="s">
        <v>265</v>
      </c>
      <c r="D45" s="24"/>
      <c r="E45" s="25" t="s">
        <v>157</v>
      </c>
      <c r="F45" s="23" t="s">
        <v>30</v>
      </c>
      <c r="G45" s="15" t="s">
        <v>31</v>
      </c>
      <c r="H45" s="26" t="s">
        <v>423</v>
      </c>
      <c r="I45" s="9" t="s">
        <v>193</v>
      </c>
      <c r="J45" s="23">
        <v>0</v>
      </c>
      <c r="K45" s="27">
        <v>2</v>
      </c>
      <c r="L45" s="56">
        <v>3.5</v>
      </c>
      <c r="M45" s="28"/>
      <c r="N45" s="73" t="str">
        <f t="shared" si="4"/>
        <v/>
      </c>
      <c r="O45" s="80" t="str">
        <f t="shared" si="5"/>
        <v/>
      </c>
      <c r="P45" s="81" t="str">
        <f t="shared" si="6"/>
        <v/>
      </c>
      <c r="Q45" s="29"/>
      <c r="R45" s="29"/>
      <c r="S45" s="29"/>
      <c r="T45" s="29"/>
      <c r="U45" s="29"/>
      <c r="V45" s="82" t="str">
        <f>IF($T45&lt;&gt;"معتمد","",IFERROR((IF(AND('قياس الأداء للربع الأول'!$T44="معتمد",'قياس الأداء للربع الأول'!$L44&gt;0),'قياس الأداء للربع الأول'!$M44,0)+IF(AND('قياس الأداء للربع الثاني'!$Q44="معتمد",'قياس الأداء للربع الثاني'!$L44&gt;0),'قياس الأداء للربع الثاني'!$M44,0)+IF(AND('قياس الأداء للربع الثالث'!$T45="معتمد",'قياس الأداء للربع الثالث'!$L45&gt;0),'قياس الأداء للربع الثالث'!$M45,0)+IF(AND($T45="معتمد",$L45&gt;0),$M45,0))/(IF(AND('قياس الأداء للربع الأول'!$T44="معتمد",'قياس الأداء للربع الأول'!$L44&gt;0),'قياس الأداء للربع الأول'!$L44,0)+IF(AND('قياس الأداء للربع الثاني'!$Q44="معتمد",'قياس الأداء للربع الثاني'!$L44&gt;0),'قياس الأداء للربع الثاني'!$L44,0)+IF(AND('قياس الأداء للربع الثالث'!$T45="معتمد",'قياس الأداء للربع الثالث'!$L45&gt;0),'قياس الأداء للربع الثالث'!$L45,0)+IF(AND($T45="معتمد",$L45&gt;0),$L45,0)),""))</f>
        <v/>
      </c>
      <c r="W45" s="83" t="str">
        <f>IF(AND($T45="معتمد",$K45&gt;0),(IF('قياس الأداء للربع الأول'!$T44="معتمد",'قياس الأداء للربع الأول'!$M44,0)+IF('قياس الأداء للربع الثاني'!$Q44="معتمد",'قياس الأداء للربع الثاني'!$M44,0)+IF('قياس الأداء للربع الثالث'!$T45="معتمد",'قياس الأداء للربع الثالث'!$M45,0)+IF($T45="معتمد",$M45,0))/$K45,"")</f>
        <v/>
      </c>
      <c r="X45" s="40" t="str">
        <f t="shared" si="7"/>
        <v>IT-01IT-01-KPI-01متوسط زمن إغلاق الطلباتعددكلما زاد كان أفضلربع سنويتقريرإدارة الأداء و النمو023.5</v>
      </c>
    </row>
    <row r="46" spans="1:24" ht="15.75" customHeight="1">
      <c r="A46" s="84" t="s">
        <v>263</v>
      </c>
      <c r="B46" s="23" t="s">
        <v>267</v>
      </c>
      <c r="C46" s="15" t="s">
        <v>268</v>
      </c>
      <c r="D46" s="24"/>
      <c r="E46" s="25" t="s">
        <v>37</v>
      </c>
      <c r="F46" s="23" t="s">
        <v>30</v>
      </c>
      <c r="G46" s="15" t="s">
        <v>31</v>
      </c>
      <c r="H46" s="26" t="s">
        <v>423</v>
      </c>
      <c r="I46" s="9" t="s">
        <v>193</v>
      </c>
      <c r="J46" s="23">
        <v>0</v>
      </c>
      <c r="K46" s="27">
        <v>0.85</v>
      </c>
      <c r="L46" s="56">
        <v>0.7</v>
      </c>
      <c r="M46" s="28"/>
      <c r="N46" s="73" t="str">
        <f t="shared" si="4"/>
        <v/>
      </c>
      <c r="O46" s="80" t="str">
        <f t="shared" si="5"/>
        <v/>
      </c>
      <c r="P46" s="81" t="str">
        <f t="shared" si="6"/>
        <v/>
      </c>
      <c r="Q46" s="29"/>
      <c r="R46" s="29"/>
      <c r="S46" s="29"/>
      <c r="T46" s="29"/>
      <c r="U46" s="29"/>
      <c r="V46" s="82" t="str">
        <f>IF($T46&lt;&gt;"معتمد","",IFERROR((IF(AND('قياس الأداء للربع الأول'!$T45="معتمد",'قياس الأداء للربع الأول'!$L45&gt;0),'قياس الأداء للربع الأول'!$M45,0)+IF(AND('قياس الأداء للربع الثاني'!$Q45="معتمد",'قياس الأداء للربع الثاني'!$L45&gt;0),'قياس الأداء للربع الثاني'!$M45,0)+IF(AND('قياس الأداء للربع الثالث'!$T46="معتمد",'قياس الأداء للربع الثالث'!$L46&gt;0),'قياس الأداء للربع الثالث'!$M46,0)+IF(AND($T46="معتمد",$L46&gt;0),$M46,0))/(IF(AND('قياس الأداء للربع الأول'!$T45="معتمد",'قياس الأداء للربع الأول'!$L45&gt;0),'قياس الأداء للربع الأول'!$L45,0)+IF(AND('قياس الأداء للربع الثاني'!$Q45="معتمد",'قياس الأداء للربع الثاني'!$L45&gt;0),'قياس الأداء للربع الثاني'!$L45,0)+IF(AND('قياس الأداء للربع الثالث'!$T46="معتمد",'قياس الأداء للربع الثالث'!$L46&gt;0),'قياس الأداء للربع الثالث'!$L46,0)+IF(AND($T46="معتمد",$L46&gt;0),$L46,0)),""))</f>
        <v/>
      </c>
      <c r="W46" s="83" t="str">
        <f>IF(AND($T46="معتمد",$K46&gt;0),(IF('قياس الأداء للربع الأول'!$T45="معتمد",'قياس الأداء للربع الأول'!$M45,0)+IF('قياس الأداء للربع الثاني'!$Q45="معتمد",'قياس الأداء للربع الثاني'!$M45,0)+IF('قياس الأداء للربع الثالث'!$T46="معتمد",'قياس الأداء للربع الثالث'!$M46,0)+IF($T46="معتمد",$M46,0))/$K46,"")</f>
        <v/>
      </c>
      <c r="X46" s="40" t="str">
        <f t="shared" si="7"/>
        <v>IT-01IT-01-KPI-02نسبة الطلبات التقنية المغلقةنسبةكلما زاد كان أفضلربع سنويتقريرإدارة الأداء و النمو00.850.7</v>
      </c>
    </row>
    <row r="47" spans="1:24" ht="15" customHeight="1">
      <c r="A47" s="23" t="s">
        <v>270</v>
      </c>
      <c r="B47" s="23" t="s">
        <v>271</v>
      </c>
      <c r="C47" s="15" t="s">
        <v>272</v>
      </c>
      <c r="D47" s="24"/>
      <c r="E47" s="25" t="s">
        <v>37</v>
      </c>
      <c r="F47" s="23" t="s">
        <v>30</v>
      </c>
      <c r="G47" s="15" t="s">
        <v>31</v>
      </c>
      <c r="H47" s="26" t="s">
        <v>423</v>
      </c>
      <c r="I47" s="9" t="s">
        <v>193</v>
      </c>
      <c r="J47" s="23">
        <v>0</v>
      </c>
      <c r="K47" s="27">
        <v>0.15</v>
      </c>
      <c r="L47" s="56">
        <v>0.25</v>
      </c>
      <c r="M47" s="28"/>
      <c r="N47" s="73" t="str">
        <f t="shared" si="4"/>
        <v/>
      </c>
      <c r="O47" s="80" t="str">
        <f t="shared" si="5"/>
        <v/>
      </c>
      <c r="P47" s="81" t="str">
        <f t="shared" si="6"/>
        <v/>
      </c>
      <c r="Q47" s="29"/>
      <c r="R47" s="29"/>
      <c r="S47" s="29"/>
      <c r="T47" s="29"/>
      <c r="U47" s="29"/>
      <c r="V47" s="82" t="str">
        <f>IF($T47&lt;&gt;"معتمد","",IFERROR((IF(AND('قياس الأداء للربع الأول'!$T46="معتمد",'قياس الأداء للربع الأول'!$L46&gt;0),'قياس الأداء للربع الأول'!$M46,0)+IF(AND('قياس الأداء للربع الثاني'!$Q46="معتمد",'قياس الأداء للربع الثاني'!$L46&gt;0),'قياس الأداء للربع الثاني'!$M46,0)+IF(AND('قياس الأداء للربع الثالث'!$T47="معتمد",'قياس الأداء للربع الثالث'!$L47&gt;0),'قياس الأداء للربع الثالث'!$M47,0)+IF(AND($T47="معتمد",$L47&gt;0),$M47,0))/(IF(AND('قياس الأداء للربع الأول'!$T46="معتمد",'قياس الأداء للربع الأول'!$L46&gt;0),'قياس الأداء للربع الأول'!$L46,0)+IF(AND('قياس الأداء للربع الثاني'!$Q46="معتمد",'قياس الأداء للربع الثاني'!$L46&gt;0),'قياس الأداء للربع الثاني'!$L46,0)+IF(AND('قياس الأداء للربع الثالث'!$T47="معتمد",'قياس الأداء للربع الثالث'!$L47&gt;0),'قياس الأداء للربع الثالث'!$L47,0)+IF(AND($T47="معتمد",$L47&gt;0),$L47,0)),""))</f>
        <v/>
      </c>
      <c r="W47" s="83" t="str">
        <f>IF(AND($T47="معتمد",$K47&gt;0),(IF('قياس الأداء للربع الأول'!$T46="معتمد",'قياس الأداء للربع الأول'!$M46,0)+IF('قياس الأداء للربع الثاني'!$Q46="معتمد",'قياس الأداء للربع الثاني'!$M46,0)+IF('قياس الأداء للربع الثالث'!$T47="معتمد",'قياس الأداء للربع الثالث'!$M47,0)+IF($T47="معتمد",$M47,0))/$K47,"")</f>
        <v/>
      </c>
      <c r="X47" s="40" t="str">
        <f t="shared" si="7"/>
        <v>IT-02IT-02-KPI-01معدل تكرار الطلبات التقنية لنفس الطلب نسبةكلما زاد كان أفضلربع سنويتقريرإدارة الأداء و النمو00.150.25</v>
      </c>
    </row>
    <row r="48" spans="1:24" ht="15" customHeight="1">
      <c r="A48" s="23" t="s">
        <v>263</v>
      </c>
      <c r="B48" s="23" t="s">
        <v>273</v>
      </c>
      <c r="C48" s="15" t="s">
        <v>274</v>
      </c>
      <c r="D48" s="24"/>
      <c r="E48" s="25" t="s">
        <v>37</v>
      </c>
      <c r="F48" s="23" t="s">
        <v>30</v>
      </c>
      <c r="G48" s="15" t="s">
        <v>31</v>
      </c>
      <c r="H48" s="26" t="s">
        <v>423</v>
      </c>
      <c r="I48" s="9" t="s">
        <v>193</v>
      </c>
      <c r="J48" s="23">
        <v>0</v>
      </c>
      <c r="K48" s="27">
        <v>0.85</v>
      </c>
      <c r="L48" s="56">
        <v>0.7</v>
      </c>
      <c r="M48" s="28"/>
      <c r="N48" s="73" t="str">
        <f t="shared" si="4"/>
        <v/>
      </c>
      <c r="O48" s="80" t="str">
        <f t="shared" si="5"/>
        <v/>
      </c>
      <c r="P48" s="81" t="str">
        <f t="shared" si="6"/>
        <v/>
      </c>
      <c r="Q48" s="29"/>
      <c r="R48" s="29"/>
      <c r="S48" s="29"/>
      <c r="T48" s="29"/>
      <c r="U48" s="29"/>
      <c r="V48" s="82" t="str">
        <f>IF($T48&lt;&gt;"معتمد","",IFERROR((IF(AND('قياس الأداء للربع الأول'!$T47="معتمد",'قياس الأداء للربع الأول'!$L47&gt;0),'قياس الأداء للربع الأول'!$M47,0)+IF(AND('قياس الأداء للربع الثاني'!$Q47="معتمد",'قياس الأداء للربع الثاني'!$L47&gt;0),'قياس الأداء للربع الثاني'!$M47,0)+IF(AND('قياس الأداء للربع الثالث'!$T48="معتمد",'قياس الأداء للربع الثالث'!$L48&gt;0),'قياس الأداء للربع الثالث'!$M48,0)+IF(AND($T48="معتمد",$L48&gt;0),$M48,0))/(IF(AND('قياس الأداء للربع الأول'!$T47="معتمد",'قياس الأداء للربع الأول'!$L47&gt;0),'قياس الأداء للربع الأول'!$L47,0)+IF(AND('قياس الأداء للربع الثاني'!$Q47="معتمد",'قياس الأداء للربع الثاني'!$L47&gt;0),'قياس الأداء للربع الثاني'!$L47,0)+IF(AND('قياس الأداء للربع الثالث'!$T48="معتمد",'قياس الأداء للربع الثالث'!$L48&gt;0),'قياس الأداء للربع الثالث'!$L48,0)+IF(AND($T48="معتمد",$L48&gt;0),$L48,0)),""))</f>
        <v/>
      </c>
      <c r="W48" s="83" t="str">
        <f>IF(AND($T48="معتمد",$K48&gt;0),(IF('قياس الأداء للربع الأول'!$T47="معتمد",'قياس الأداء للربع الأول'!$M47,0)+IF('قياس الأداء للربع الثاني'!$Q47="معتمد",'قياس الأداء للربع الثاني'!$M47,0)+IF('قياس الأداء للربع الثالث'!$T48="معتمد",'قياس الأداء للربع الثالث'!$M48,0)+IF($T48="معتمد",$M48,0))/$K48,"")</f>
        <v/>
      </c>
      <c r="X48" s="40" t="str">
        <f t="shared" si="7"/>
        <v>IT-01IT-01-KPI-03مستوى رضا الموظفين عن الخدمات التقنيةنسبةكلما زاد كان أفضلربع سنويتقريرإدارة الأداء و النمو00.850.7</v>
      </c>
    </row>
    <row r="49" spans="1:24" ht="15" customHeight="1">
      <c r="A49" s="23" t="s">
        <v>263</v>
      </c>
      <c r="B49" s="23" t="s">
        <v>276</v>
      </c>
      <c r="C49" s="15" t="s">
        <v>277</v>
      </c>
      <c r="D49" s="24"/>
      <c r="E49" s="25" t="s">
        <v>37</v>
      </c>
      <c r="F49" s="23" t="s">
        <v>30</v>
      </c>
      <c r="G49" s="15" t="s">
        <v>31</v>
      </c>
      <c r="H49" s="26" t="s">
        <v>423</v>
      </c>
      <c r="I49" s="9" t="s">
        <v>193</v>
      </c>
      <c r="J49" s="23">
        <v>0</v>
      </c>
      <c r="K49" s="27">
        <v>0.85</v>
      </c>
      <c r="L49" s="56">
        <v>0.7</v>
      </c>
      <c r="M49" s="28"/>
      <c r="N49" s="73" t="str">
        <f t="shared" si="4"/>
        <v/>
      </c>
      <c r="O49" s="80" t="str">
        <f t="shared" si="5"/>
        <v/>
      </c>
      <c r="P49" s="81" t="str">
        <f t="shared" si="6"/>
        <v/>
      </c>
      <c r="Q49" s="29"/>
      <c r="R49" s="29"/>
      <c r="S49" s="29"/>
      <c r="T49" s="29"/>
      <c r="U49" s="29"/>
      <c r="V49" s="82" t="str">
        <f>IF($T49&lt;&gt;"معتمد","",IFERROR((IF(AND('قياس الأداء للربع الأول'!$T48="معتمد",'قياس الأداء للربع الأول'!$L48&gt;0),'قياس الأداء للربع الأول'!$M48,0)+IF(AND('قياس الأداء للربع الثاني'!$Q48="معتمد",'قياس الأداء للربع الثاني'!$L48&gt;0),'قياس الأداء للربع الثاني'!$M48,0)+IF(AND('قياس الأداء للربع الثالث'!$T49="معتمد",'قياس الأداء للربع الثالث'!$L49&gt;0),'قياس الأداء للربع الثالث'!$M49,0)+IF(AND($T49="معتمد",$L49&gt;0),$M49,0))/(IF(AND('قياس الأداء للربع الأول'!$T48="معتمد",'قياس الأداء للربع الأول'!$L48&gt;0),'قياس الأداء للربع الأول'!$L48,0)+IF(AND('قياس الأداء للربع الثاني'!$Q48="معتمد",'قياس الأداء للربع الثاني'!$L48&gt;0),'قياس الأداء للربع الثاني'!$L48,0)+IF(AND('قياس الأداء للربع الثالث'!$T49="معتمد",'قياس الأداء للربع الثالث'!$L49&gt;0),'قياس الأداء للربع الثالث'!$L49,0)+IF(AND($T49="معتمد",$L49&gt;0),$L49,0)),""))</f>
        <v/>
      </c>
      <c r="W49" s="83" t="str">
        <f>IF(AND($T49="معتمد",$K49&gt;0),(IF('قياس الأداء للربع الأول'!$T48="معتمد",'قياس الأداء للربع الأول'!$M48,0)+IF('قياس الأداء للربع الثاني'!$Q48="معتمد",'قياس الأداء للربع الثاني'!$M48,0)+IF('قياس الأداء للربع الثالث'!$T49="معتمد",'قياس الأداء للربع الثالث'!$M49,0)+IF($T49="معتمد",$M49,0))/$K49,"")</f>
        <v/>
      </c>
      <c r="X49" s="40" t="str">
        <f t="shared" si="7"/>
        <v>IT-01IT-01-KPI-04نسبة معالجة الطلبات من أول مرةنسبةكلما زاد كان أفضلربع سنويتقريرإدارة الأداء و النمو00.850.7</v>
      </c>
    </row>
    <row r="50" spans="1:24" ht="15" customHeight="1">
      <c r="A50" s="23" t="s">
        <v>263</v>
      </c>
      <c r="B50" s="23" t="s">
        <v>278</v>
      </c>
      <c r="C50" s="15" t="s">
        <v>279</v>
      </c>
      <c r="D50" s="24"/>
      <c r="E50" s="25" t="s">
        <v>157</v>
      </c>
      <c r="F50" s="23" t="s">
        <v>30</v>
      </c>
      <c r="G50" s="15" t="s">
        <v>31</v>
      </c>
      <c r="H50" s="26" t="s">
        <v>423</v>
      </c>
      <c r="I50" s="9" t="s">
        <v>193</v>
      </c>
      <c r="J50" s="23">
        <v>0</v>
      </c>
      <c r="K50" s="27">
        <v>3</v>
      </c>
      <c r="L50" s="56">
        <v>15</v>
      </c>
      <c r="M50" s="28"/>
      <c r="N50" s="73" t="str">
        <f t="shared" si="4"/>
        <v/>
      </c>
      <c r="O50" s="80" t="str">
        <f t="shared" si="5"/>
        <v/>
      </c>
      <c r="P50" s="81" t="str">
        <f t="shared" si="6"/>
        <v/>
      </c>
      <c r="Q50" s="29"/>
      <c r="R50" s="29"/>
      <c r="S50" s="29"/>
      <c r="T50" s="29"/>
      <c r="U50" s="29"/>
      <c r="V50" s="82" t="str">
        <f>IF($T50&lt;&gt;"معتمد","",IFERROR((IF(AND('قياس الأداء للربع الأول'!$T49="معتمد",'قياس الأداء للربع الأول'!$L49&gt;0),'قياس الأداء للربع الأول'!$M49,0)+IF(AND('قياس الأداء للربع الثاني'!$Q49="معتمد",'قياس الأداء للربع الثاني'!$L49&gt;0),'قياس الأداء للربع الثاني'!$M49,0)+IF(AND('قياس الأداء للربع الثالث'!$T50="معتمد",'قياس الأداء للربع الثالث'!$L50&gt;0),'قياس الأداء للربع الثالث'!$M50,0)+IF(AND($T50="معتمد",$L50&gt;0),$M50,0))/(IF(AND('قياس الأداء للربع الأول'!$T49="معتمد",'قياس الأداء للربع الأول'!$L49&gt;0),'قياس الأداء للربع الأول'!$L49,0)+IF(AND('قياس الأداء للربع الثاني'!$Q49="معتمد",'قياس الأداء للربع الثاني'!$L49&gt;0),'قياس الأداء للربع الثاني'!$L49,0)+IF(AND('قياس الأداء للربع الثالث'!$T50="معتمد",'قياس الأداء للربع الثالث'!$L50&gt;0),'قياس الأداء للربع الثالث'!$L50,0)+IF(AND($T50="معتمد",$L50&gt;0),$L50,0)),""))</f>
        <v/>
      </c>
      <c r="W50" s="83" t="str">
        <f>IF(AND($T50="معتمد",$K50&gt;0),(IF('قياس الأداء للربع الأول'!$T49="معتمد",'قياس الأداء للربع الأول'!$M49,0)+IF('قياس الأداء للربع الثاني'!$Q49="معتمد",'قياس الأداء للربع الثاني'!$M49,0)+IF('قياس الأداء للربع الثالث'!$T50="معتمد",'قياس الأداء للربع الثالث'!$M50,0)+IF($T50="معتمد",$M50,0))/$K50,"")</f>
        <v/>
      </c>
      <c r="X50" s="40" t="str">
        <f t="shared" si="7"/>
        <v>IT-01IT-01-KPI-05عدد الشكاوى التقنية المتكررةعددكلما زاد كان أفضلربع سنويتقريرإدارة الأداء و النمو0315</v>
      </c>
    </row>
    <row r="51" spans="1:24" ht="15" customHeight="1">
      <c r="A51" s="23" t="s">
        <v>270</v>
      </c>
      <c r="B51" s="23" t="s">
        <v>280</v>
      </c>
      <c r="C51" s="15" t="s">
        <v>281</v>
      </c>
      <c r="D51" s="24"/>
      <c r="E51" s="25" t="s">
        <v>37</v>
      </c>
      <c r="F51" s="23" t="s">
        <v>30</v>
      </c>
      <c r="G51" s="15" t="s">
        <v>31</v>
      </c>
      <c r="H51" s="26" t="s">
        <v>423</v>
      </c>
      <c r="I51" s="9" t="s">
        <v>193</v>
      </c>
      <c r="J51" s="23">
        <v>0</v>
      </c>
      <c r="K51" s="27">
        <v>0.85</v>
      </c>
      <c r="L51" s="51">
        <v>0.55000000000000004</v>
      </c>
      <c r="M51" s="28"/>
      <c r="N51" s="73" t="str">
        <f t="shared" si="4"/>
        <v/>
      </c>
      <c r="O51" s="80" t="str">
        <f t="shared" si="5"/>
        <v/>
      </c>
      <c r="P51" s="81" t="str">
        <f t="shared" si="6"/>
        <v/>
      </c>
      <c r="Q51" s="29"/>
      <c r="R51" s="29"/>
      <c r="S51" s="29"/>
      <c r="T51" s="29"/>
      <c r="U51" s="29"/>
      <c r="V51" s="82" t="str">
        <f>IF($T51&lt;&gt;"معتمد","",IFERROR((IF(AND('قياس الأداء للربع الأول'!$T50="معتمد",'قياس الأداء للربع الأول'!$L50&gt;0),'قياس الأداء للربع الأول'!$M50,0)+IF(AND('قياس الأداء للربع الثاني'!$Q50="معتمد",'قياس الأداء للربع الثاني'!$L50&gt;0),'قياس الأداء للربع الثاني'!$M50,0)+IF(AND('قياس الأداء للربع الثالث'!$T51="معتمد",'قياس الأداء للربع الثالث'!$L51&gt;0),'قياس الأداء للربع الثالث'!$M51,0)+IF(AND($T51="معتمد",$L51&gt;0),$M51,0))/(IF(AND('قياس الأداء للربع الأول'!$T50="معتمد",'قياس الأداء للربع الأول'!$L50&gt;0),'قياس الأداء للربع الأول'!$L50,0)+IF(AND('قياس الأداء للربع الثاني'!$Q50="معتمد",'قياس الأداء للربع الثاني'!$L50&gt;0),'قياس الأداء للربع الثاني'!$L50,0)+IF(AND('قياس الأداء للربع الثالث'!$T51="معتمد",'قياس الأداء للربع الثالث'!$L51&gt;0),'قياس الأداء للربع الثالث'!$L51,0)+IF(AND($T51="معتمد",$L51&gt;0),$L51,0)),""))</f>
        <v/>
      </c>
      <c r="W51" s="83" t="str">
        <f>IF(AND($T51="معتمد",$K51&gt;0),(IF('قياس الأداء للربع الأول'!$T50="معتمد",'قياس الأداء للربع الأول'!$M50,0)+IF('قياس الأداء للربع الثاني'!$Q50="معتمد",'قياس الأداء للربع الثاني'!$M50,0)+IF('قياس الأداء للربع الثالث'!$T51="معتمد",'قياس الأداء للربع الثالث'!$M51,0)+IF($T51="معتمد",$M51,0))/$K51,"")</f>
        <v/>
      </c>
      <c r="X51" s="40" t="str">
        <f t="shared" si="7"/>
        <v>IT-02IT-02-KPI-02نسبة الأقسام الملتزمة باستخدام الأنظمة التقنيةنسبةكلما زاد كان أفضلربع سنويتقريرإدارة الأداء و النمو00.850.55</v>
      </c>
    </row>
    <row r="52" spans="1:24" ht="15" customHeight="1">
      <c r="A52" s="23" t="s">
        <v>270</v>
      </c>
      <c r="B52" s="23" t="s">
        <v>283</v>
      </c>
      <c r="C52" s="15" t="s">
        <v>284</v>
      </c>
      <c r="D52" s="24"/>
      <c r="E52" s="25" t="s">
        <v>37</v>
      </c>
      <c r="F52" s="23" t="s">
        <v>30</v>
      </c>
      <c r="G52" s="15" t="s">
        <v>31</v>
      </c>
      <c r="H52" s="26" t="s">
        <v>423</v>
      </c>
      <c r="I52" s="9" t="s">
        <v>193</v>
      </c>
      <c r="J52" s="23">
        <v>0</v>
      </c>
      <c r="K52" s="27">
        <v>0.85</v>
      </c>
      <c r="L52" s="51">
        <v>0.55000000000000004</v>
      </c>
      <c r="M52" s="28"/>
      <c r="N52" s="73" t="str">
        <f t="shared" si="4"/>
        <v/>
      </c>
      <c r="O52" s="80" t="str">
        <f t="shared" si="5"/>
        <v/>
      </c>
      <c r="P52" s="81" t="str">
        <f t="shared" si="6"/>
        <v/>
      </c>
      <c r="Q52" s="29"/>
      <c r="R52" s="29"/>
      <c r="S52" s="29"/>
      <c r="T52" s="29"/>
      <c r="U52" s="29"/>
      <c r="V52" s="82" t="str">
        <f>IF($T52&lt;&gt;"معتمد","",IFERROR((IF(AND('قياس الأداء للربع الأول'!$T51="معتمد",'قياس الأداء للربع الأول'!$L51&gt;0),'قياس الأداء للربع الأول'!$M51,0)+IF(AND('قياس الأداء للربع الثاني'!$Q51="معتمد",'قياس الأداء للربع الثاني'!$L51&gt;0),'قياس الأداء للربع الثاني'!$M51,0)+IF(AND('قياس الأداء للربع الثالث'!$T52="معتمد",'قياس الأداء للربع الثالث'!$L52&gt;0),'قياس الأداء للربع الثالث'!$M52,0)+IF(AND($T52="معتمد",$L52&gt;0),$M52,0))/(IF(AND('قياس الأداء للربع الأول'!$T51="معتمد",'قياس الأداء للربع الأول'!$L51&gt;0),'قياس الأداء للربع الأول'!$L51,0)+IF(AND('قياس الأداء للربع الثاني'!$Q51="معتمد",'قياس الأداء للربع الثاني'!$L51&gt;0),'قياس الأداء للربع الثاني'!$L51,0)+IF(AND('قياس الأداء للربع الثالث'!$T52="معتمد",'قياس الأداء للربع الثالث'!$L52&gt;0),'قياس الأداء للربع الثالث'!$L52,0)+IF(AND($T52="معتمد",$L52&gt;0),$L52,0)),""))</f>
        <v/>
      </c>
      <c r="W52" s="83" t="str">
        <f>IF(AND($T52="معتمد",$K52&gt;0),(IF('قياس الأداء للربع الأول'!$T51="معتمد",'قياس الأداء للربع الأول'!$M51,0)+IF('قياس الأداء للربع الثاني'!$Q51="معتمد",'قياس الأداء للربع الثاني'!$M51,0)+IF('قياس الأداء للربع الثالث'!$T52="معتمد",'قياس الأداء للربع الثالث'!$M52,0)+IF($T52="معتمد",$M52,0))/$K52,"")</f>
        <v/>
      </c>
      <c r="X52" s="40" t="str">
        <f t="shared" si="7"/>
        <v>IT-02IT-02-KPI-03نسبة العمليات المنفذة عبر الأنظمة التقنيةنسبةكلما زاد كان أفضلربع سنويتقريرإدارة الأداء و النمو00.850.55</v>
      </c>
    </row>
    <row r="53" spans="1:24" ht="15" customHeight="1">
      <c r="A53" s="23" t="s">
        <v>270</v>
      </c>
      <c r="B53" s="23" t="s">
        <v>285</v>
      </c>
      <c r="C53" s="15" t="s">
        <v>286</v>
      </c>
      <c r="D53" s="24"/>
      <c r="E53" s="25" t="s">
        <v>37</v>
      </c>
      <c r="F53" s="23" t="s">
        <v>30</v>
      </c>
      <c r="G53" s="15" t="s">
        <v>31</v>
      </c>
      <c r="H53" s="26" t="s">
        <v>423</v>
      </c>
      <c r="I53" s="9" t="s">
        <v>193</v>
      </c>
      <c r="J53" s="23">
        <v>0</v>
      </c>
      <c r="K53" s="27">
        <v>0.9</v>
      </c>
      <c r="L53" s="51">
        <v>0.7</v>
      </c>
      <c r="M53" s="28"/>
      <c r="N53" s="73" t="str">
        <f t="shared" si="4"/>
        <v/>
      </c>
      <c r="O53" s="80" t="str">
        <f t="shared" si="5"/>
        <v/>
      </c>
      <c r="P53" s="81" t="str">
        <f t="shared" si="6"/>
        <v/>
      </c>
      <c r="Q53" s="29"/>
      <c r="R53" s="29"/>
      <c r="S53" s="29"/>
      <c r="T53" s="29"/>
      <c r="U53" s="29"/>
      <c r="V53" s="82" t="str">
        <f>IF($T53&lt;&gt;"معتمد","",IFERROR((IF(AND('قياس الأداء للربع الأول'!$T52="معتمد",'قياس الأداء للربع الأول'!$L52&gt;0),'قياس الأداء للربع الأول'!$M52,0)+IF(AND('قياس الأداء للربع الثاني'!$Q52="معتمد",'قياس الأداء للربع الثاني'!$L52&gt;0),'قياس الأداء للربع الثاني'!$M52,0)+IF(AND('قياس الأداء للربع الثالث'!$T53="معتمد",'قياس الأداء للربع الثالث'!$L53&gt;0),'قياس الأداء للربع الثالث'!$M53,0)+IF(AND($T53="معتمد",$L53&gt;0),$M53,0))/(IF(AND('قياس الأداء للربع الأول'!$T52="معتمد",'قياس الأداء للربع الأول'!$L52&gt;0),'قياس الأداء للربع الأول'!$L52,0)+IF(AND('قياس الأداء للربع الثاني'!$Q52="معتمد",'قياس الأداء للربع الثاني'!$L52&gt;0),'قياس الأداء للربع الثاني'!$L52,0)+IF(AND('قياس الأداء للربع الثالث'!$T53="معتمد",'قياس الأداء للربع الثالث'!$L53&gt;0),'قياس الأداء للربع الثالث'!$L53,0)+IF(AND($T53="معتمد",$L53&gt;0),$L53,0)),""))</f>
        <v/>
      </c>
      <c r="W53" s="83" t="str">
        <f>IF(AND($T53="معتمد",$K53&gt;0),(IF('قياس الأداء للربع الأول'!$T52="معتمد",'قياس الأداء للربع الأول'!$M52,0)+IF('قياس الأداء للربع الثاني'!$Q52="معتمد",'قياس الأداء للربع الثاني'!$M52,0)+IF('قياس الأداء للربع الثالث'!$T53="معتمد",'قياس الأداء للربع الثالث'!$M53,0)+IF($T53="معتمد",$M53,0))/$K53,"")</f>
        <v/>
      </c>
      <c r="X53" s="40" t="str">
        <f t="shared" si="7"/>
        <v>IT-02IT-02-KPI-04 نسبة المستخدمين النشطين للأنظمة التقنيةنسبةكلما زاد كان أفضلربع سنويتقريرإدارة الأداء و النمو00.90.7</v>
      </c>
    </row>
    <row r="54" spans="1:24" ht="15" customHeight="1">
      <c r="A54" s="23" t="s">
        <v>287</v>
      </c>
      <c r="B54" s="23" t="s">
        <v>288</v>
      </c>
      <c r="C54" s="15" t="s">
        <v>289</v>
      </c>
      <c r="D54" s="24"/>
      <c r="E54" s="25" t="s">
        <v>37</v>
      </c>
      <c r="F54" s="23" t="s">
        <v>30</v>
      </c>
      <c r="G54" s="15" t="s">
        <v>31</v>
      </c>
      <c r="H54" s="26" t="s">
        <v>423</v>
      </c>
      <c r="I54" s="9" t="s">
        <v>193</v>
      </c>
      <c r="J54" s="23">
        <v>0</v>
      </c>
      <c r="K54" s="27">
        <v>0</v>
      </c>
      <c r="L54" s="49">
        <v>0</v>
      </c>
      <c r="M54" s="28"/>
      <c r="N54" s="73" t="str">
        <f t="shared" si="4"/>
        <v/>
      </c>
      <c r="O54" s="80" t="str">
        <f t="shared" si="5"/>
        <v/>
      </c>
      <c r="P54" s="81" t="str">
        <f t="shared" si="6"/>
        <v/>
      </c>
      <c r="Q54" s="29"/>
      <c r="R54" s="29"/>
      <c r="S54" s="29"/>
      <c r="T54" s="29"/>
      <c r="U54" s="29"/>
      <c r="V54" s="82" t="str">
        <f>IF($T54&lt;&gt;"معتمد","",IFERROR((IF(AND('قياس الأداء للربع الأول'!$T53="معتمد",'قياس الأداء للربع الأول'!$L53&gt;0),'قياس الأداء للربع الأول'!$M53,0)+IF(AND('قياس الأداء للربع الثاني'!$Q53="معتمد",'قياس الأداء للربع الثاني'!$L53&gt;0),'قياس الأداء للربع الثاني'!$M53,0)+IF(AND('قياس الأداء للربع الثالث'!$T54="معتمد",'قياس الأداء للربع الثالث'!$L54&gt;0),'قياس الأداء للربع الثالث'!$M54,0)+IF(AND($T54="معتمد",$L54&gt;0),$M54,0))/(IF(AND('قياس الأداء للربع الأول'!$T53="معتمد",'قياس الأداء للربع الأول'!$L53&gt;0),'قياس الأداء للربع الأول'!$L53,0)+IF(AND('قياس الأداء للربع الثاني'!$Q53="معتمد",'قياس الأداء للربع الثاني'!$L53&gt;0),'قياس الأداء للربع الثاني'!$L53,0)+IF(AND('قياس الأداء للربع الثالث'!$T54="معتمد",'قياس الأداء للربع الثالث'!$L54&gt;0),'قياس الأداء للربع الثالث'!$L54,0)+IF(AND($T54="معتمد",$L54&gt;0),$L54,0)),""))</f>
        <v/>
      </c>
      <c r="W54" s="83" t="str">
        <f>IF(AND($T54="معتمد",$K54&gt;0),(IF('قياس الأداء للربع الأول'!$T53="معتمد",'قياس الأداء للربع الأول'!$M53,0)+IF('قياس الأداء للربع الثاني'!$Q53="معتمد",'قياس الأداء للربع الثاني'!$M53,0)+IF('قياس الأداء للربع الثالث'!$T54="معتمد",'قياس الأداء للربع الثالث'!$M54,0)+IF($T54="معتمد",$M54,0))/$K54,"")</f>
        <v/>
      </c>
      <c r="X54" s="40" t="str">
        <f t="shared" si="7"/>
        <v>STR-01STR-01-KPI-01مؤشر الوعي بإدارة المشاريعنسبةكلما زاد كان أفضلربع سنويتقريرإدارة الأداء و النمو000</v>
      </c>
    </row>
    <row r="55" spans="1:24" ht="15" customHeight="1">
      <c r="A55" s="23" t="s">
        <v>287</v>
      </c>
      <c r="B55" s="23" t="s">
        <v>291</v>
      </c>
      <c r="C55" s="15" t="s">
        <v>292</v>
      </c>
      <c r="D55" s="24"/>
      <c r="E55" s="25" t="s">
        <v>157</v>
      </c>
      <c r="F55" s="23" t="s">
        <v>30</v>
      </c>
      <c r="G55" s="15" t="s">
        <v>31</v>
      </c>
      <c r="H55" s="26" t="s">
        <v>423</v>
      </c>
      <c r="I55" s="9" t="s">
        <v>193</v>
      </c>
      <c r="J55" s="23">
        <v>0</v>
      </c>
      <c r="K55" s="27">
        <v>0</v>
      </c>
      <c r="L55" s="49">
        <v>0</v>
      </c>
      <c r="M55" s="28"/>
      <c r="N55" s="73" t="str">
        <f t="shared" si="4"/>
        <v/>
      </c>
      <c r="O55" s="80" t="str">
        <f t="shared" si="5"/>
        <v/>
      </c>
      <c r="P55" s="81" t="str">
        <f t="shared" si="6"/>
        <v/>
      </c>
      <c r="Q55" s="29"/>
      <c r="R55" s="29"/>
      <c r="S55" s="29"/>
      <c r="T55" s="29"/>
      <c r="U55" s="29"/>
      <c r="V55" s="82" t="str">
        <f>IF($T55&lt;&gt;"معتمد","",IFERROR((IF(AND('قياس الأداء للربع الأول'!$T54="معتمد",'قياس الأداء للربع الأول'!$L54&gt;0),'قياس الأداء للربع الأول'!$M54,0)+IF(AND('قياس الأداء للربع الثاني'!$Q54="معتمد",'قياس الأداء للربع الثاني'!$L54&gt;0),'قياس الأداء للربع الثاني'!$M54,0)+IF(AND('قياس الأداء للربع الثالث'!$T55="معتمد",'قياس الأداء للربع الثالث'!$L55&gt;0),'قياس الأداء للربع الثالث'!$M55,0)+IF(AND($T55="معتمد",$L55&gt;0),$M55,0))/(IF(AND('قياس الأداء للربع الأول'!$T54="معتمد",'قياس الأداء للربع الأول'!$L54&gt;0),'قياس الأداء للربع الأول'!$L54,0)+IF(AND('قياس الأداء للربع الثاني'!$Q54="معتمد",'قياس الأداء للربع الثاني'!$L54&gt;0),'قياس الأداء للربع الثاني'!$L54,0)+IF(AND('قياس الأداء للربع الثالث'!$T55="معتمد",'قياس الأداء للربع الثالث'!$L55&gt;0),'قياس الأداء للربع الثالث'!$L55,0)+IF(AND($T55="معتمد",$L55&gt;0),$L55,0)),""))</f>
        <v/>
      </c>
      <c r="W55" s="83" t="str">
        <f>IF(AND($T55="معتمد",$K55&gt;0),(IF('قياس الأداء للربع الأول'!$T54="معتمد",'قياس الأداء للربع الأول'!$M54,0)+IF('قياس الأداء للربع الثاني'!$Q54="معتمد",'قياس الأداء للربع الثاني'!$M54,0)+IF('قياس الأداء للربع الثالث'!$T55="معتمد",'قياس الأداء للربع الثالث'!$M55,0)+IF($T55="معتمد",$M55,0))/$K55,"")</f>
        <v/>
      </c>
      <c r="X55" s="40" t="str">
        <f t="shared" si="7"/>
        <v>STR-01STR-01-KPI-02مؤشر تحقيق جودة مخرجات المشاريععددكلما زاد كان أفضلربع سنويتقريرإدارة الأداء و النمو000</v>
      </c>
    </row>
    <row r="56" spans="1:24" ht="15" customHeight="1">
      <c r="A56" s="23" t="s">
        <v>287</v>
      </c>
      <c r="B56" s="23" t="s">
        <v>294</v>
      </c>
      <c r="C56" s="15" t="s">
        <v>295</v>
      </c>
      <c r="D56" s="24"/>
      <c r="E56" s="25" t="s">
        <v>157</v>
      </c>
      <c r="F56" s="23" t="s">
        <v>30</v>
      </c>
      <c r="G56" s="15" t="s">
        <v>31</v>
      </c>
      <c r="H56" s="26" t="s">
        <v>423</v>
      </c>
      <c r="I56" s="9" t="s">
        <v>193</v>
      </c>
      <c r="J56" s="23">
        <v>0</v>
      </c>
      <c r="K56" s="27">
        <v>0</v>
      </c>
      <c r="L56" s="49">
        <v>0</v>
      </c>
      <c r="M56" s="28"/>
      <c r="N56" s="73" t="str">
        <f t="shared" si="4"/>
        <v/>
      </c>
      <c r="O56" s="80" t="str">
        <f t="shared" si="5"/>
        <v/>
      </c>
      <c r="P56" s="81" t="str">
        <f t="shared" si="6"/>
        <v/>
      </c>
      <c r="Q56" s="29"/>
      <c r="R56" s="29"/>
      <c r="S56" s="29"/>
      <c r="T56" s="29"/>
      <c r="U56" s="29"/>
      <c r="V56" s="82" t="str">
        <f>IF($T56&lt;&gt;"معتمد","",IFERROR((IF(AND('قياس الأداء للربع الأول'!$T55="معتمد",'قياس الأداء للربع الأول'!$L55&gt;0),'قياس الأداء للربع الأول'!$M55,0)+IF(AND('قياس الأداء للربع الثاني'!$Q55="معتمد",'قياس الأداء للربع الثاني'!$L55&gt;0),'قياس الأداء للربع الثاني'!$M55,0)+IF(AND('قياس الأداء للربع الثالث'!$T56="معتمد",'قياس الأداء للربع الثالث'!$L56&gt;0),'قياس الأداء للربع الثالث'!$M56,0)+IF(AND($T56="معتمد",$L56&gt;0),$M56,0))/(IF(AND('قياس الأداء للربع الأول'!$T55="معتمد",'قياس الأداء للربع الأول'!$L55&gt;0),'قياس الأداء للربع الأول'!$L55,0)+IF(AND('قياس الأداء للربع الثاني'!$Q55="معتمد",'قياس الأداء للربع الثاني'!$L55&gt;0),'قياس الأداء للربع الثاني'!$L55,0)+IF(AND('قياس الأداء للربع الثالث'!$T56="معتمد",'قياس الأداء للربع الثالث'!$L56&gt;0),'قياس الأداء للربع الثالث'!$L56,0)+IF(AND($T56="معتمد",$L56&gt;0),$L56,0)),""))</f>
        <v/>
      </c>
      <c r="W56" s="83" t="str">
        <f>IF(AND($T56="معتمد",$K56&gt;0),(IF('قياس الأداء للربع الأول'!$T55="معتمد",'قياس الأداء للربع الأول'!$M55,0)+IF('قياس الأداء للربع الثاني'!$Q55="معتمد",'قياس الأداء للربع الثاني'!$M55,0)+IF('قياس الأداء للربع الثالث'!$T56="معتمد",'قياس الأداء للربع الثالث'!$M56,0)+IF($T56="معتمد",$M56,0))/$K56,"")</f>
        <v/>
      </c>
      <c r="X56" s="40" t="str">
        <f t="shared" si="7"/>
        <v>STR-01STR-01-KPI-03مؤشر فعالية تطبيق دليل مكتب إدارة المشاريععددكلما زاد كان أفضلربع سنويتقريرإدارة الأداء و النمو000</v>
      </c>
    </row>
    <row r="57" spans="1:24" ht="15" customHeight="1">
      <c r="A57" s="23" t="s">
        <v>287</v>
      </c>
      <c r="B57" s="23" t="s">
        <v>296</v>
      </c>
      <c r="C57" s="15" t="s">
        <v>297</v>
      </c>
      <c r="D57" s="24"/>
      <c r="E57" s="25" t="s">
        <v>157</v>
      </c>
      <c r="F57" s="23" t="s">
        <v>30</v>
      </c>
      <c r="G57" s="15" t="s">
        <v>31</v>
      </c>
      <c r="H57" s="26" t="s">
        <v>423</v>
      </c>
      <c r="I57" s="9" t="s">
        <v>193</v>
      </c>
      <c r="J57" s="23">
        <v>0</v>
      </c>
      <c r="K57" s="27">
        <v>0</v>
      </c>
      <c r="L57" s="57">
        <v>0</v>
      </c>
      <c r="M57" s="28"/>
      <c r="N57" s="73" t="str">
        <f t="shared" si="4"/>
        <v/>
      </c>
      <c r="O57" s="80" t="str">
        <f t="shared" si="5"/>
        <v/>
      </c>
      <c r="P57" s="81" t="str">
        <f t="shared" si="6"/>
        <v/>
      </c>
      <c r="Q57" s="29"/>
      <c r="R57" s="29"/>
      <c r="S57" s="29"/>
      <c r="T57" s="29"/>
      <c r="U57" s="29"/>
      <c r="V57" s="82" t="str">
        <f>IF($T57&lt;&gt;"معتمد","",IFERROR((IF(AND('قياس الأداء للربع الأول'!$T56="معتمد",'قياس الأداء للربع الأول'!$L56&gt;0),'قياس الأداء للربع الأول'!$M56,0)+IF(AND('قياس الأداء للربع الثاني'!$Q56="معتمد",'قياس الأداء للربع الثاني'!$L56&gt;0),'قياس الأداء للربع الثاني'!$M56,0)+IF(AND('قياس الأداء للربع الثالث'!$T57="معتمد",'قياس الأداء للربع الثالث'!$L57&gt;0),'قياس الأداء للربع الثالث'!$M57,0)+IF(AND($T57="معتمد",$L57&gt;0),$M57,0))/(IF(AND('قياس الأداء للربع الأول'!$T56="معتمد",'قياس الأداء للربع الأول'!$L56&gt;0),'قياس الأداء للربع الأول'!$L56,0)+IF(AND('قياس الأداء للربع الثاني'!$Q56="معتمد",'قياس الأداء للربع الثاني'!$L56&gt;0),'قياس الأداء للربع الثاني'!$L56,0)+IF(AND('قياس الأداء للربع الثالث'!$T57="معتمد",'قياس الأداء للربع الثالث'!$L57&gt;0),'قياس الأداء للربع الثالث'!$L57,0)+IF(AND($T57="معتمد",$L57&gt;0),$L57,0)),""))</f>
        <v/>
      </c>
      <c r="W57" s="83" t="str">
        <f>IF(AND($T57="معتمد",$K57&gt;0),(IF('قياس الأداء للربع الأول'!$T56="معتمد",'قياس الأداء للربع الأول'!$M56,0)+IF('قياس الأداء للربع الثاني'!$Q56="معتمد",'قياس الأداء للربع الثاني'!$M56,0)+IF('قياس الأداء للربع الثالث'!$T57="معتمد",'قياس الأداء للربع الثالث'!$M57,0)+IF($T57="معتمد",$M57,0))/$K57,"")</f>
        <v/>
      </c>
      <c r="X57" s="40" t="str">
        <f t="shared" si="7"/>
        <v>STR-01STR-01-KPI-04نسبة المشاريع التي تم تنفيذها ضمن المدة المحددة دون تعثرعددكلما زاد كان أفضلربع سنويتقريرإدارة الأداء و النمو000</v>
      </c>
    </row>
    <row r="58" spans="1:24" ht="15" customHeight="1">
      <c r="A58" s="23" t="s">
        <v>298</v>
      </c>
      <c r="B58" s="23" t="s">
        <v>299</v>
      </c>
      <c r="C58" s="15" t="s">
        <v>300</v>
      </c>
      <c r="D58" s="24"/>
      <c r="E58" s="25" t="s">
        <v>37</v>
      </c>
      <c r="F58" s="23" t="s">
        <v>30</v>
      </c>
      <c r="G58" s="15" t="s">
        <v>31</v>
      </c>
      <c r="H58" s="26" t="s">
        <v>423</v>
      </c>
      <c r="I58" s="9" t="s">
        <v>193</v>
      </c>
      <c r="J58" s="23">
        <v>0</v>
      </c>
      <c r="K58" s="27">
        <v>1</v>
      </c>
      <c r="L58" s="56">
        <v>1</v>
      </c>
      <c r="M58" s="28"/>
      <c r="N58" s="73" t="str">
        <f t="shared" si="4"/>
        <v/>
      </c>
      <c r="O58" s="80" t="str">
        <f t="shared" si="5"/>
        <v/>
      </c>
      <c r="P58" s="81" t="str">
        <f t="shared" si="6"/>
        <v/>
      </c>
      <c r="Q58" s="29"/>
      <c r="R58" s="29"/>
      <c r="S58" s="29"/>
      <c r="T58" s="29"/>
      <c r="U58" s="29"/>
      <c r="V58" s="82" t="str">
        <f>IF($T58&lt;&gt;"معتمد","",IFERROR((IF(AND('قياس الأداء للربع الأول'!$T57="معتمد",'قياس الأداء للربع الأول'!$L57&gt;0),'قياس الأداء للربع الأول'!$M57,0)+IF(AND('قياس الأداء للربع الثاني'!$Q57="معتمد",'قياس الأداء للربع الثاني'!$L57&gt;0),'قياس الأداء للربع الثاني'!$M57,0)+IF(AND('قياس الأداء للربع الثالث'!$T58="معتمد",'قياس الأداء للربع الثالث'!$L58&gt;0),'قياس الأداء للربع الثالث'!$M58,0)+IF(AND($T58="معتمد",$L58&gt;0),$M58,0))/(IF(AND('قياس الأداء للربع الأول'!$T57="معتمد",'قياس الأداء للربع الأول'!$L57&gt;0),'قياس الأداء للربع الأول'!$L57,0)+IF(AND('قياس الأداء للربع الثاني'!$Q57="معتمد",'قياس الأداء للربع الثاني'!$L57&gt;0),'قياس الأداء للربع الثاني'!$L57,0)+IF(AND('قياس الأداء للربع الثالث'!$T58="معتمد",'قياس الأداء للربع الثالث'!$L58&gt;0),'قياس الأداء للربع الثالث'!$L58,0)+IF(AND($T58="معتمد",$L58&gt;0),$L58,0)),""))</f>
        <v/>
      </c>
      <c r="W58" s="83" t="str">
        <f>IF(AND($T58="معتمد",$K58&gt;0),(IF('قياس الأداء للربع الأول'!$T57="معتمد",'قياس الأداء للربع الأول'!$M57,0)+IF('قياس الأداء للربع الثاني'!$Q57="معتمد",'قياس الأداء للربع الثاني'!$M57,0)+IF('قياس الأداء للربع الثالث'!$T58="معتمد",'قياس الأداء للربع الثالث'!$M58,0)+IF($T58="معتمد",$M58,0))/$K58,"")</f>
        <v/>
      </c>
      <c r="X58" s="40" t="str">
        <f t="shared" si="7"/>
        <v>STR-02STR-02-KPI-01نسبة مواءمة الخطط التشغيلية مع الأهداف الاستراتيجية للجمعيةنسبةكلما زاد كان أفضلربع سنويتقريرإدارة الأداء و النمو011</v>
      </c>
    </row>
    <row r="59" spans="1:24" ht="15" customHeight="1">
      <c r="A59" s="23" t="s">
        <v>298</v>
      </c>
      <c r="B59" s="23" t="s">
        <v>424</v>
      </c>
      <c r="C59" s="15" t="s">
        <v>425</v>
      </c>
      <c r="D59" s="24"/>
      <c r="E59" s="25" t="s">
        <v>37</v>
      </c>
      <c r="F59" s="23" t="s">
        <v>30</v>
      </c>
      <c r="G59" s="15" t="s">
        <v>31</v>
      </c>
      <c r="H59" s="26" t="s">
        <v>423</v>
      </c>
      <c r="I59" s="9" t="s">
        <v>193</v>
      </c>
      <c r="J59" s="23">
        <v>0</v>
      </c>
      <c r="K59" s="27">
        <v>0.4</v>
      </c>
      <c r="L59" s="56">
        <v>0.25</v>
      </c>
      <c r="M59" s="28"/>
      <c r="N59" s="73" t="str">
        <f t="shared" si="4"/>
        <v/>
      </c>
      <c r="O59" s="80" t="str">
        <f t="shared" si="5"/>
        <v/>
      </c>
      <c r="P59" s="81" t="str">
        <f t="shared" si="6"/>
        <v/>
      </c>
      <c r="Q59" s="29"/>
      <c r="R59" s="29"/>
      <c r="S59" s="29"/>
      <c r="T59" s="29"/>
      <c r="U59" s="29"/>
      <c r="V59" s="82" t="str">
        <f>IF($T59&lt;&gt;"معتمد","",IFERROR((IF(AND('قياس الأداء للربع الأول'!#REF!="معتمد",'قياس الأداء للربع الأول'!#REF!&gt;0),'قياس الأداء للربع الأول'!#REF!,0)+IF(AND('قياس الأداء للربع الثاني'!$Q58="معتمد",'قياس الأداء للربع الثاني'!$L58&gt;0),'قياس الأداء للربع الثاني'!$M58,0)+IF(AND('قياس الأداء للربع الثالث'!$T59="معتمد",'قياس الأداء للربع الثالث'!$L59&gt;0),'قياس الأداء للربع الثالث'!$M59,0)+IF(AND($T59="معتمد",$L59&gt;0),$M59,0))/(IF(AND('قياس الأداء للربع الأول'!#REF!="معتمد",'قياس الأداء للربع الأول'!#REF!&gt;0),'قياس الأداء للربع الأول'!#REF!,0)+IF(AND('قياس الأداء للربع الثاني'!$Q58="معتمد",'قياس الأداء للربع الثاني'!$L58&gt;0),'قياس الأداء للربع الثاني'!$L58,0)+IF(AND('قياس الأداء للربع الثالث'!$T59="معتمد",'قياس الأداء للربع الثالث'!$L59&gt;0),'قياس الأداء للربع الثالث'!$L59,0)+IF(AND($T59="معتمد",$L59&gt;0),$L59,0)),""))</f>
        <v/>
      </c>
      <c r="W59" s="83" t="str">
        <f>IF(AND($T59="معتمد",$K59&gt;0),(IF('قياس الأداء للربع الأول'!#REF!="معتمد",'قياس الأداء للربع الأول'!#REF!,0)+IF('قياس الأداء للربع الثاني'!$Q58="معتمد",'قياس الأداء للربع الثاني'!$M58,0)+IF('قياس الأداء للربع الثالث'!$T59="معتمد",'قياس الأداء للربع الثالث'!$M59,0)+IF($T59="معتمد",$M59,0))/$K59,"")</f>
        <v/>
      </c>
      <c r="X59" s="40" t="str">
        <f t="shared" si="7"/>
        <v>STR-02STR-02-KPI-02نسبة المبادرات التشغيلية ذات الأثر الإستراتيجي المباشرنسبةكلما زاد كان أفضلربع سنويتقريرإدارة الأداء و النمو00.40.25</v>
      </c>
    </row>
    <row r="60" spans="1:24" ht="15" customHeight="1">
      <c r="A60" s="23" t="s">
        <v>302</v>
      </c>
      <c r="B60" s="23" t="s">
        <v>303</v>
      </c>
      <c r="C60" s="15" t="s">
        <v>304</v>
      </c>
      <c r="D60" s="24"/>
      <c r="E60" s="25" t="s">
        <v>37</v>
      </c>
      <c r="F60" s="23" t="s">
        <v>30</v>
      </c>
      <c r="G60" s="15" t="s">
        <v>31</v>
      </c>
      <c r="H60" s="26" t="s">
        <v>423</v>
      </c>
      <c r="I60" s="9" t="s">
        <v>193</v>
      </c>
      <c r="J60" s="23">
        <v>0</v>
      </c>
      <c r="K60" s="27">
        <v>0.7</v>
      </c>
      <c r="L60" s="56">
        <v>0.55000000000000004</v>
      </c>
      <c r="M60" s="28"/>
      <c r="N60" s="73" t="str">
        <f t="shared" si="4"/>
        <v/>
      </c>
      <c r="O60" s="80" t="str">
        <f t="shared" si="5"/>
        <v/>
      </c>
      <c r="P60" s="81" t="str">
        <f t="shared" si="6"/>
        <v/>
      </c>
      <c r="Q60" s="29"/>
      <c r="R60" s="29"/>
      <c r="S60" s="29"/>
      <c r="T60" s="29"/>
      <c r="U60" s="29"/>
      <c r="V60" s="82" t="str">
        <f>IF($T60&lt;&gt;"معتمد","",IFERROR((IF(AND('قياس الأداء للربع الأول'!$T58="معتمد",'قياس الأداء للربع الأول'!$L58&gt;0),'قياس الأداء للربع الأول'!$M58,0)+IF(AND('قياس الأداء للربع الثاني'!$Q59="معتمد",'قياس الأداء للربع الثاني'!$L59&gt;0),'قياس الأداء للربع الثاني'!$M59,0)+IF(AND('قياس الأداء للربع الثالث'!$T60="معتمد",'قياس الأداء للربع الثالث'!$L60&gt;0),'قياس الأداء للربع الثالث'!$M60,0)+IF(AND($T60="معتمد",$L60&gt;0),$M60,0))/(IF(AND('قياس الأداء للربع الأول'!$T58="معتمد",'قياس الأداء للربع الأول'!$L58&gt;0),'قياس الأداء للربع الأول'!$L58,0)+IF(AND('قياس الأداء للربع الثاني'!$Q59="معتمد",'قياس الأداء للربع الثاني'!$L59&gt;0),'قياس الأداء للربع الثاني'!$L59,0)+IF(AND('قياس الأداء للربع الثالث'!$T60="معتمد",'قياس الأداء للربع الثالث'!$L60&gt;0),'قياس الأداء للربع الثالث'!$L60,0)+IF(AND($T60="معتمد",$L60&gt;0),$L60,0)),""))</f>
        <v/>
      </c>
      <c r="W60" s="83" t="str">
        <f>IF(AND($T60="معتمد",$K60&gt;0),(IF('قياس الأداء للربع الأول'!$T58="معتمد",'قياس الأداء للربع الأول'!$M58,0)+IF('قياس الأداء للربع الثاني'!$Q59="معتمد",'قياس الأداء للربع الثاني'!$M59,0)+IF('قياس الأداء للربع الثالث'!$T60="معتمد",'قياس الأداء للربع الثالث'!$M60,0)+IF($T60="معتمد",$M60,0))/$K60,"")</f>
        <v/>
      </c>
      <c r="X60" s="40" t="str">
        <f t="shared" si="7"/>
        <v>STR-03STR-03-KPI-01نسبة التقدم في تحقيق مؤشرات الأداء المعتمدة و التشغيليةنسبةكلما زاد كان أفضلربع سنويتقريرإدارة الأداء و النمو00.70.55</v>
      </c>
    </row>
    <row r="61" spans="1:24" ht="15" customHeight="1">
      <c r="A61" s="23" t="s">
        <v>302</v>
      </c>
      <c r="B61" s="23" t="s">
        <v>306</v>
      </c>
      <c r="C61" s="15" t="s">
        <v>307</v>
      </c>
      <c r="D61" s="24"/>
      <c r="E61" s="25" t="s">
        <v>37</v>
      </c>
      <c r="F61" s="23" t="s">
        <v>30</v>
      </c>
      <c r="G61" s="15" t="s">
        <v>31</v>
      </c>
      <c r="H61" s="26" t="s">
        <v>423</v>
      </c>
      <c r="I61" s="9" t="s">
        <v>193</v>
      </c>
      <c r="J61" s="23">
        <v>0</v>
      </c>
      <c r="K61" s="27">
        <v>1</v>
      </c>
      <c r="L61" s="56">
        <v>0.8</v>
      </c>
      <c r="M61" s="28"/>
      <c r="N61" s="73" t="str">
        <f t="shared" si="4"/>
        <v/>
      </c>
      <c r="O61" s="80" t="str">
        <f t="shared" si="5"/>
        <v/>
      </c>
      <c r="P61" s="81" t="str">
        <f t="shared" si="6"/>
        <v/>
      </c>
      <c r="Q61" s="29"/>
      <c r="R61" s="29"/>
      <c r="S61" s="29"/>
      <c r="T61" s="29"/>
      <c r="U61" s="29"/>
      <c r="V61" s="82" t="str">
        <f>IF($T61&lt;&gt;"معتمد","",IFERROR((IF(AND('قياس الأداء للربع الأول'!$T59="معتمد",'قياس الأداء للربع الأول'!$L59&gt;0),'قياس الأداء للربع الأول'!$M59,0)+IF(AND('قياس الأداء للربع الثاني'!$Q60="معتمد",'قياس الأداء للربع الثاني'!$L60&gt;0),'قياس الأداء للربع الثاني'!$M60,0)+IF(AND('قياس الأداء للربع الثالث'!$T61="معتمد",'قياس الأداء للربع الثالث'!$L61&gt;0),'قياس الأداء للربع الثالث'!$M61,0)+IF(AND($T61="معتمد",$L61&gt;0),$M61,0))/(IF(AND('قياس الأداء للربع الأول'!$T59="معتمد",'قياس الأداء للربع الأول'!$L59&gt;0),'قياس الأداء للربع الأول'!$L59,0)+IF(AND('قياس الأداء للربع الثاني'!$Q60="معتمد",'قياس الأداء للربع الثاني'!$L60&gt;0),'قياس الأداء للربع الثاني'!$L60,0)+IF(AND('قياس الأداء للربع الثالث'!$T61="معتمد",'قياس الأداء للربع الثالث'!$L61&gt;0),'قياس الأداء للربع الثالث'!$L61,0)+IF(AND($T61="معتمد",$L61&gt;0),$L61,0)),""))</f>
        <v/>
      </c>
      <c r="W61" s="83" t="str">
        <f>IF(AND($T61="معتمد",$K61&gt;0),(IF('قياس الأداء للربع الأول'!$T59="معتمد",'قياس الأداء للربع الأول'!$M59,0)+IF('قياس الأداء للربع الثاني'!$Q60="معتمد",'قياس الأداء للربع الثاني'!$M60,0)+IF('قياس الأداء للربع الثالث'!$T61="معتمد",'قياس الأداء للربع الثالث'!$M61,0)+IF($T61="معتمد",$M61,0))/$K61,"")</f>
        <v/>
      </c>
      <c r="X61" s="40" t="str">
        <f t="shared" si="7"/>
        <v>STR-03STR-03-KPI-02دقة التقارير الدورية مقارنة بالبيانات الفعليةنسبةكلما زاد كان أفضلربع سنويتقريرإدارة الأداء و النمو010.8</v>
      </c>
    </row>
    <row r="62" spans="1:24" ht="15" customHeight="1">
      <c r="A62" s="23" t="s">
        <v>302</v>
      </c>
      <c r="B62" s="23" t="s">
        <v>309</v>
      </c>
      <c r="C62" s="15" t="s">
        <v>310</v>
      </c>
      <c r="D62" s="24"/>
      <c r="E62" s="25" t="s">
        <v>37</v>
      </c>
      <c r="F62" s="23" t="s">
        <v>30</v>
      </c>
      <c r="G62" s="15" t="s">
        <v>31</v>
      </c>
      <c r="H62" s="26" t="s">
        <v>423</v>
      </c>
      <c r="I62" s="9" t="s">
        <v>193</v>
      </c>
      <c r="J62" s="23">
        <v>0</v>
      </c>
      <c r="K62" s="27">
        <v>0.6</v>
      </c>
      <c r="L62" s="56">
        <v>0.3</v>
      </c>
      <c r="M62" s="28"/>
      <c r="N62" s="73" t="str">
        <f t="shared" si="4"/>
        <v/>
      </c>
      <c r="O62" s="80" t="str">
        <f t="shared" si="5"/>
        <v/>
      </c>
      <c r="P62" s="81" t="str">
        <f t="shared" si="6"/>
        <v/>
      </c>
      <c r="Q62" s="29"/>
      <c r="R62" s="29"/>
      <c r="S62" s="29"/>
      <c r="T62" s="29"/>
      <c r="U62" s="29"/>
      <c r="V62" s="82" t="str">
        <f>IF($T62&lt;&gt;"معتمد","",IFERROR((IF(AND('قياس الأداء للربع الأول'!$T60="معتمد",'قياس الأداء للربع الأول'!$L60&gt;0),'قياس الأداء للربع الأول'!$M60,0)+IF(AND('قياس الأداء للربع الثاني'!$Q61="معتمد",'قياس الأداء للربع الثاني'!$L61&gt;0),'قياس الأداء للربع الثاني'!$M61,0)+IF(AND('قياس الأداء للربع الثالث'!$T62="معتمد",'قياس الأداء للربع الثالث'!$L62&gt;0),'قياس الأداء للربع الثالث'!$M62,0)+IF(AND($T62="معتمد",$L62&gt;0),$M62,0))/(IF(AND('قياس الأداء للربع الأول'!$T60="معتمد",'قياس الأداء للربع الأول'!$L60&gt;0),'قياس الأداء للربع الأول'!$L60,0)+IF(AND('قياس الأداء للربع الثاني'!$Q61="معتمد",'قياس الأداء للربع الثاني'!$L61&gt;0),'قياس الأداء للربع الثاني'!$L61,0)+IF(AND('قياس الأداء للربع الثالث'!$T62="معتمد",'قياس الأداء للربع الثالث'!$L62&gt;0),'قياس الأداء للربع الثالث'!$L62,0)+IF(AND($T62="معتمد",$L62&gt;0),$L62,0)),""))</f>
        <v/>
      </c>
      <c r="W62" s="83" t="str">
        <f>IF(AND($T62="معتمد",$K62&gt;0),(IF('قياس الأداء للربع الأول'!$T60="معتمد",'قياس الأداء للربع الأول'!$M60,0)+IF('قياس الأداء للربع الثاني'!$Q61="معتمد",'قياس الأداء للربع الثاني'!$M61,0)+IF('قياس الأداء للربع الثالث'!$T62="معتمد",'قياس الأداء للربع الثالث'!$M62,0)+IF($T62="معتمد",$M62,0))/$K62,"")</f>
        <v/>
      </c>
      <c r="X62" s="40" t="str">
        <f t="shared" si="7"/>
        <v>STR-03STR-03-KPI-03نسبة القرارات التنفيذية المبنية على تحليل بيانات الأداءنسبةكلما زاد كان أفضلربع سنويتقريرإدارة الأداء و النمو00.60.3</v>
      </c>
    </row>
    <row r="63" spans="1:24" ht="15" customHeight="1">
      <c r="A63" s="23" t="s">
        <v>312</v>
      </c>
      <c r="B63" s="23" t="s">
        <v>313</v>
      </c>
      <c r="C63" s="15" t="s">
        <v>314</v>
      </c>
      <c r="D63" s="24"/>
      <c r="E63" s="25" t="s">
        <v>37</v>
      </c>
      <c r="F63" s="23" t="s">
        <v>30</v>
      </c>
      <c r="G63" s="15" t="s">
        <v>31</v>
      </c>
      <c r="H63" s="26" t="s">
        <v>423</v>
      </c>
      <c r="I63" s="9" t="s">
        <v>193</v>
      </c>
      <c r="J63" s="23">
        <v>0</v>
      </c>
      <c r="K63" s="27">
        <v>0.98</v>
      </c>
      <c r="L63" s="55">
        <v>0.98</v>
      </c>
      <c r="M63" s="28"/>
      <c r="N63" s="73" t="str">
        <f t="shared" si="4"/>
        <v/>
      </c>
      <c r="O63" s="80" t="str">
        <f t="shared" si="5"/>
        <v/>
      </c>
      <c r="P63" s="81" t="str">
        <f t="shared" si="6"/>
        <v/>
      </c>
      <c r="Q63" s="29"/>
      <c r="R63" s="29"/>
      <c r="S63" s="29"/>
      <c r="T63" s="29"/>
      <c r="U63" s="29"/>
      <c r="V63" s="82" t="str">
        <f>IF($T63&lt;&gt;"معتمد","",IFERROR((IF(AND('قياس الأداء للربع الأول'!$T61="معتمد",'قياس الأداء للربع الأول'!$L61&gt;0),'قياس الأداء للربع الأول'!$M61,0)+IF(AND('قياس الأداء للربع الثاني'!$Q62="معتمد",'قياس الأداء للربع الثاني'!$L62&gt;0),'قياس الأداء للربع الثاني'!$M62,0)+IF(AND('قياس الأداء للربع الثالث'!$T63="معتمد",'قياس الأداء للربع الثالث'!$L63&gt;0),'قياس الأداء للربع الثالث'!$M63,0)+IF(AND($T63="معتمد",$L63&gt;0),$M63,0))/(IF(AND('قياس الأداء للربع الأول'!$T61="معتمد",'قياس الأداء للربع الأول'!$L61&gt;0),'قياس الأداء للربع الأول'!$L61,0)+IF(AND('قياس الأداء للربع الثاني'!$Q62="معتمد",'قياس الأداء للربع الثاني'!$L62&gt;0),'قياس الأداء للربع الثاني'!$L62,0)+IF(AND('قياس الأداء للربع الثالث'!$T63="معتمد",'قياس الأداء للربع الثالث'!$L63&gt;0),'قياس الأداء للربع الثالث'!$L63,0)+IF(AND($T63="معتمد",$L63&gt;0),$L63,0)),""))</f>
        <v/>
      </c>
      <c r="W63" s="83" t="str">
        <f>IF(AND($T63="معتمد",$K63&gt;0),(IF('قياس الأداء للربع الأول'!$T61="معتمد",'قياس الأداء للربع الأول'!$M61,0)+IF('قياس الأداء للربع الثاني'!$Q62="معتمد",'قياس الأداء للربع الثاني'!$M62,0)+IF('قياس الأداء للربع الثالث'!$T63="معتمد",'قياس الأداء للربع الثالث'!$M63,0)+IF($T63="معتمد",$M63,0))/$K63,"")</f>
        <v/>
      </c>
      <c r="X63" s="40" t="str">
        <f t="shared" si="7"/>
        <v>GOV-02GOV-02-KPI-01إلتزام الجمعية بتطبيق معايير الحوكمةنسبةكلما زاد كان أفضلربع سنويتقريرإدارة الأداء و النمو00.980.98</v>
      </c>
    </row>
    <row r="64" spans="1:24" ht="15" customHeight="1">
      <c r="A64" s="23" t="s">
        <v>316</v>
      </c>
      <c r="B64" s="23" t="s">
        <v>317</v>
      </c>
      <c r="C64" s="15" t="s">
        <v>318</v>
      </c>
      <c r="D64" s="24"/>
      <c r="E64" s="25" t="s">
        <v>157</v>
      </c>
      <c r="F64" s="23" t="s">
        <v>30</v>
      </c>
      <c r="G64" s="15" t="s">
        <v>31</v>
      </c>
      <c r="H64" s="26" t="s">
        <v>423</v>
      </c>
      <c r="I64" s="9" t="s">
        <v>193</v>
      </c>
      <c r="J64" s="23">
        <v>0</v>
      </c>
      <c r="K64" s="27">
        <v>70</v>
      </c>
      <c r="L64" s="56">
        <v>10</v>
      </c>
      <c r="M64" s="28"/>
      <c r="N64" s="73" t="str">
        <f t="shared" si="4"/>
        <v/>
      </c>
      <c r="O64" s="80" t="str">
        <f t="shared" si="5"/>
        <v/>
      </c>
      <c r="P64" s="81" t="str">
        <f t="shared" si="6"/>
        <v/>
      </c>
      <c r="Q64" s="29"/>
      <c r="R64" s="29"/>
      <c r="S64" s="29"/>
      <c r="T64" s="29"/>
      <c r="U64" s="29"/>
      <c r="V64" s="82" t="str">
        <f>IF($T64&lt;&gt;"معتمد","",IFERROR((IF(AND('قياس الأداء للربع الأول'!$T62="معتمد",'قياس الأداء للربع الأول'!$L62&gt;0),'قياس الأداء للربع الأول'!$M62,0)+IF(AND('قياس الأداء للربع الثاني'!$Q63="معتمد",'قياس الأداء للربع الثاني'!$L63&gt;0),'قياس الأداء للربع الثاني'!$M63,0)+IF(AND('قياس الأداء للربع الثالث'!$T64="معتمد",'قياس الأداء للربع الثالث'!$L64&gt;0),'قياس الأداء للربع الثالث'!$M64,0)+IF(AND($T64="معتمد",$L64&gt;0),$M64,0))/(IF(AND('قياس الأداء للربع الأول'!$T62="معتمد",'قياس الأداء للربع الأول'!$L62&gt;0),'قياس الأداء للربع الأول'!$L62,0)+IF(AND('قياس الأداء للربع الثاني'!$Q63="معتمد",'قياس الأداء للربع الثاني'!$L63&gt;0),'قياس الأداء للربع الثاني'!$L63,0)+IF(AND('قياس الأداء للربع الثالث'!$T64="معتمد",'قياس الأداء للربع الثالث'!$L64&gt;0),'قياس الأداء للربع الثالث'!$L64,0)+IF(AND($T64="معتمد",$L64&gt;0),$L64,0)),""))</f>
        <v/>
      </c>
      <c r="W64" s="83" t="str">
        <f>IF(AND($T64="معتمد",$K64&gt;0),(IF('قياس الأداء للربع الأول'!$T62="معتمد",'قياس الأداء للربع الأول'!$M62,0)+IF('قياس الأداء للربع الثاني'!$Q63="معتمد",'قياس الأداء للربع الثاني'!$M63,0)+IF('قياس الأداء للربع الثالث'!$T64="معتمد",'قياس الأداء للربع الثالث'!$M64,0)+IF($T64="معتمد",$M64,0))/$K64,"")</f>
        <v/>
      </c>
      <c r="X64" s="40" t="str">
        <f t="shared" si="7"/>
        <v>HR-01HR-01-KPI-01مؤشر عدد المتدربين يكون اكثر ب 30 بالمئة من عدد مشاريع التدريبعددكلما زاد كان أفضلربع سنويتقريرإدارة الأداء و النمو07010</v>
      </c>
    </row>
    <row r="65" spans="1:24" ht="15" customHeight="1">
      <c r="A65" s="23" t="s">
        <v>323</v>
      </c>
      <c r="B65" s="23" t="s">
        <v>324</v>
      </c>
      <c r="C65" s="15" t="s">
        <v>325</v>
      </c>
      <c r="D65" s="24"/>
      <c r="E65" s="25" t="s">
        <v>37</v>
      </c>
      <c r="F65" s="23" t="s">
        <v>30</v>
      </c>
      <c r="G65" s="15" t="s">
        <v>31</v>
      </c>
      <c r="H65" s="26" t="s">
        <v>423</v>
      </c>
      <c r="I65" s="9" t="s">
        <v>193</v>
      </c>
      <c r="J65" s="23">
        <v>0</v>
      </c>
      <c r="K65" s="27">
        <v>0.7</v>
      </c>
      <c r="L65" s="56">
        <v>0.5</v>
      </c>
      <c r="M65" s="28"/>
      <c r="N65" s="73" t="str">
        <f t="shared" si="4"/>
        <v/>
      </c>
      <c r="O65" s="80" t="str">
        <f t="shared" si="5"/>
        <v/>
      </c>
      <c r="P65" s="81" t="str">
        <f t="shared" si="6"/>
        <v/>
      </c>
      <c r="Q65" s="29"/>
      <c r="R65" s="29"/>
      <c r="S65" s="29"/>
      <c r="T65" s="29"/>
      <c r="U65" s="29"/>
      <c r="V65" s="82" t="str">
        <f>IF($T65&lt;&gt;"معتمد","",IFERROR((IF(AND('قياس الأداء للربع الأول'!$T63="معتمد",'قياس الأداء للربع الأول'!$L63&gt;0),'قياس الأداء للربع الأول'!$M63,0)+IF(AND('قياس الأداء للربع الثاني'!$Q64="معتمد",'قياس الأداء للربع الثاني'!$L64&gt;0),'قياس الأداء للربع الثاني'!$M64,0)+IF(AND('قياس الأداء للربع الثالث'!$T65="معتمد",'قياس الأداء للربع الثالث'!$L65&gt;0),'قياس الأداء للربع الثالث'!$M65,0)+IF(AND($T65="معتمد",$L65&gt;0),$M65,0))/(IF(AND('قياس الأداء للربع الأول'!$T63="معتمد",'قياس الأداء للربع الأول'!$L63&gt;0),'قياس الأداء للربع الأول'!$L63,0)+IF(AND('قياس الأداء للربع الثاني'!$Q64="معتمد",'قياس الأداء للربع الثاني'!$L64&gt;0),'قياس الأداء للربع الثاني'!$L64,0)+IF(AND('قياس الأداء للربع الثالث'!$T65="معتمد",'قياس الأداء للربع الثالث'!$L65&gt;0),'قياس الأداء للربع الثالث'!$L65,0)+IF(AND($T65="معتمد",$L65&gt;0),$L65,0)),""))</f>
        <v/>
      </c>
      <c r="W65" s="83" t="str">
        <f>IF(AND($T65="معتمد",$K65&gt;0),(IF('قياس الأداء للربع الأول'!$T63="معتمد",'قياس الأداء للربع الأول'!$M63,0)+IF('قياس الأداء للربع الثاني'!$Q64="معتمد",'قياس الأداء للربع الثاني'!$M64,0)+IF('قياس الأداء للربع الثالث'!$T65="معتمد",'قياس الأداء للربع الثالث'!$M65,0)+IF($T65="معتمد",$M65,0))/$K65,"")</f>
        <v/>
      </c>
      <c r="X65" s="40" t="str">
        <f t="shared" si="7"/>
        <v>HR-02HR-02-KPI-01نسبة تطبيق خطط التطوير الفردية نسبةكلما زاد كان أفضلربع سنويتقريرإدارة الأداء و النمو00.70.5</v>
      </c>
    </row>
    <row r="66" spans="1:24" ht="15" customHeight="1">
      <c r="A66" s="23" t="s">
        <v>330</v>
      </c>
      <c r="B66" s="23" t="s">
        <v>331</v>
      </c>
      <c r="C66" s="15" t="s">
        <v>332</v>
      </c>
      <c r="D66" s="24"/>
      <c r="E66" s="25" t="s">
        <v>37</v>
      </c>
      <c r="F66" s="23" t="s">
        <v>30</v>
      </c>
      <c r="G66" s="15" t="s">
        <v>31</v>
      </c>
      <c r="H66" s="26" t="s">
        <v>423</v>
      </c>
      <c r="I66" s="9" t="s">
        <v>193</v>
      </c>
      <c r="J66" s="23">
        <v>0</v>
      </c>
      <c r="K66" s="27">
        <v>0.9</v>
      </c>
      <c r="L66" s="56">
        <v>0.7</v>
      </c>
      <c r="M66" s="28"/>
      <c r="N66" s="73" t="str">
        <f t="shared" si="4"/>
        <v/>
      </c>
      <c r="O66" s="80" t="str">
        <f t="shared" si="5"/>
        <v/>
      </c>
      <c r="P66" s="81" t="str">
        <f t="shared" si="6"/>
        <v/>
      </c>
      <c r="Q66" s="29"/>
      <c r="R66" s="29"/>
      <c r="S66" s="29"/>
      <c r="T66" s="29"/>
      <c r="U66" s="29"/>
      <c r="V66" s="82" t="str">
        <f>IF($T66&lt;&gt;"معتمد","",IFERROR((IF(AND('قياس الأداء للربع الأول'!$T64="معتمد",'قياس الأداء للربع الأول'!$L64&gt;0),'قياس الأداء للربع الأول'!$M64,0)+IF(AND('قياس الأداء للربع الثاني'!$Q65="معتمد",'قياس الأداء للربع الثاني'!$L65&gt;0),'قياس الأداء للربع الثاني'!$M65,0)+IF(AND('قياس الأداء للربع الثالث'!$T66="معتمد",'قياس الأداء للربع الثالث'!$L66&gt;0),'قياس الأداء للربع الثالث'!$M66,0)+IF(AND($T66="معتمد",$L66&gt;0),$M66,0))/(IF(AND('قياس الأداء للربع الأول'!$T64="معتمد",'قياس الأداء للربع الأول'!$L64&gt;0),'قياس الأداء للربع الأول'!$L64,0)+IF(AND('قياس الأداء للربع الثاني'!$Q65="معتمد",'قياس الأداء للربع الثاني'!$L65&gt;0),'قياس الأداء للربع الثاني'!$L65,0)+IF(AND('قياس الأداء للربع الثالث'!$T66="معتمد",'قياس الأداء للربع الثالث'!$L66&gt;0),'قياس الأداء للربع الثالث'!$L66,0)+IF(AND($T66="معتمد",$L66&gt;0),$L66,0)),""))</f>
        <v/>
      </c>
      <c r="W66" s="83" t="str">
        <f>IF(AND($T66="معتمد",$K66&gt;0),(IF('قياس الأداء للربع الأول'!$T64="معتمد",'قياس الأداء للربع الأول'!$M64,0)+IF('قياس الأداء للربع الثاني'!$Q65="معتمد",'قياس الأداء للربع الثاني'!$M65,0)+IF('قياس الأداء للربع الثالث'!$T66="معتمد",'قياس الأداء للربع الثالث'!$M66,0)+IF($T66="معتمد",$M66,0))/$K66,"")</f>
        <v/>
      </c>
      <c r="X66" s="40" t="str">
        <f t="shared" si="7"/>
        <v>HR-03HR-03-KPI-01نسبة التزام الموظفين بساعات العمل (الحضور والانصراف)نسبةكلما زاد كان أفضلربع سنويتقريرإدارة الأداء و النمو00.90.7</v>
      </c>
    </row>
    <row r="67" spans="1:24" ht="15" customHeight="1">
      <c r="A67" s="23" t="s">
        <v>330</v>
      </c>
      <c r="B67" s="23" t="s">
        <v>334</v>
      </c>
      <c r="C67" s="15" t="s">
        <v>335</v>
      </c>
      <c r="D67" s="24"/>
      <c r="E67" s="25" t="s">
        <v>37</v>
      </c>
      <c r="F67" s="23" t="s">
        <v>30</v>
      </c>
      <c r="G67" s="15" t="s">
        <v>31</v>
      </c>
      <c r="H67" s="26" t="s">
        <v>423</v>
      </c>
      <c r="I67" s="9" t="s">
        <v>193</v>
      </c>
      <c r="J67" s="23">
        <v>0</v>
      </c>
      <c r="K67" s="27">
        <v>1</v>
      </c>
      <c r="L67" s="55">
        <v>1</v>
      </c>
      <c r="M67" s="28"/>
      <c r="N67" s="73" t="str">
        <f t="shared" ref="N67:N80" si="8">IF(AND($T67="معتمد",$L67&gt;0),$M67/$L67,"")</f>
        <v/>
      </c>
      <c r="O67" s="80" t="str">
        <f t="shared" ref="O67:O80" si="9">IF($T67="معتمد",$M67-$L67,"")</f>
        <v/>
      </c>
      <c r="P67" s="81" t="str">
        <f t="shared" ref="P67:P80" si="10">IF(AND($T67="معتمد",$L67&gt;0),($M67-$L67)/$L67,"")</f>
        <v/>
      </c>
      <c r="Q67" s="29"/>
      <c r="R67" s="29"/>
      <c r="S67" s="29"/>
      <c r="T67" s="29"/>
      <c r="U67" s="29"/>
      <c r="V67" s="82" t="str">
        <f>IF($T67&lt;&gt;"معتمد","",IFERROR((IF(AND('قياس الأداء للربع الأول'!$T65="معتمد",'قياس الأداء للربع الأول'!$L65&gt;0),'قياس الأداء للربع الأول'!$M65,0)+IF(AND('قياس الأداء للربع الثاني'!$Q66="معتمد",'قياس الأداء للربع الثاني'!$L66&gt;0),'قياس الأداء للربع الثاني'!$M66,0)+IF(AND('قياس الأداء للربع الثالث'!$T67="معتمد",'قياس الأداء للربع الثالث'!$L67&gt;0),'قياس الأداء للربع الثالث'!$M67,0)+IF(AND($T67="معتمد",$L67&gt;0),$M67,0))/(IF(AND('قياس الأداء للربع الأول'!$T65="معتمد",'قياس الأداء للربع الأول'!$L65&gt;0),'قياس الأداء للربع الأول'!$L65,0)+IF(AND('قياس الأداء للربع الثاني'!$Q66="معتمد",'قياس الأداء للربع الثاني'!$L66&gt;0),'قياس الأداء للربع الثاني'!$L66,0)+IF(AND('قياس الأداء للربع الثالث'!$T67="معتمد",'قياس الأداء للربع الثالث'!$L67&gt;0),'قياس الأداء للربع الثالث'!$L67,0)+IF(AND($T67="معتمد",$L67&gt;0),$L67,0)),""))</f>
        <v/>
      </c>
      <c r="W67" s="83" t="str">
        <f>IF(AND($T67="معتمد",$K67&gt;0),(IF('قياس الأداء للربع الأول'!$T65="معتمد",'قياس الأداء للربع الأول'!$M65,0)+IF('قياس الأداء للربع الثاني'!$Q66="معتمد",'قياس الأداء للربع الثاني'!$M66,0)+IF('قياس الأداء للربع الثالث'!$T67="معتمد",'قياس الأداء للربع الثالث'!$M67,0)+IF($T67="معتمد",$M67,0))/$K67,"")</f>
        <v/>
      </c>
      <c r="X67" s="40" t="str">
        <f t="shared" ref="X67:X80" si="11">A67&amp;B67&amp;C67&amp;D67&amp;E67&amp;F67&amp;G67&amp;H67&amp;I67&amp;J67&amp;K67&amp;L67&amp;M67&amp;N67&amp;O67&amp;P67&amp;Q67&amp;R67&amp;S67&amp;T67&amp;U67&amp;V67&amp;W67</f>
        <v>HR-03HR-03-KPI-02نسبة الموظفين الذين تم تقييمهم وفق نظام الأداء المعتمدنسبةكلما زاد كان أفضلربع سنويتقريرإدارة الأداء و النمو011</v>
      </c>
    </row>
    <row r="68" spans="1:24" ht="15" customHeight="1">
      <c r="A68" s="23" t="s">
        <v>337</v>
      </c>
      <c r="B68" s="23" t="s">
        <v>338</v>
      </c>
      <c r="C68" s="30" t="s">
        <v>339</v>
      </c>
      <c r="D68" s="24"/>
      <c r="E68" s="25" t="s">
        <v>37</v>
      </c>
      <c r="F68" s="23" t="s">
        <v>30</v>
      </c>
      <c r="G68" s="15" t="s">
        <v>31</v>
      </c>
      <c r="H68" s="26" t="s">
        <v>423</v>
      </c>
      <c r="I68" s="9" t="s">
        <v>193</v>
      </c>
      <c r="J68" s="23">
        <v>0</v>
      </c>
      <c r="K68" s="27">
        <v>0.97</v>
      </c>
      <c r="L68" s="56">
        <v>0.85</v>
      </c>
      <c r="M68" s="28"/>
      <c r="N68" s="73" t="str">
        <f t="shared" si="8"/>
        <v/>
      </c>
      <c r="O68" s="80" t="str">
        <f t="shared" si="9"/>
        <v/>
      </c>
      <c r="P68" s="81" t="str">
        <f t="shared" si="10"/>
        <v/>
      </c>
      <c r="Q68" s="29"/>
      <c r="R68" s="29"/>
      <c r="S68" s="29"/>
      <c r="T68" s="29"/>
      <c r="U68" s="29"/>
      <c r="V68" s="82" t="str">
        <f>IF($T68&lt;&gt;"معتمد","",IFERROR((IF(AND('قياس الأداء للربع الأول'!$T66="معتمد",'قياس الأداء للربع الأول'!$L66&gt;0),'قياس الأداء للربع الأول'!$M66,0)+IF(AND('قياس الأداء للربع الثاني'!$Q67="معتمد",'قياس الأداء للربع الثاني'!$L67&gt;0),'قياس الأداء للربع الثاني'!$M67,0)+IF(AND('قياس الأداء للربع الثالث'!$T68="معتمد",'قياس الأداء للربع الثالث'!$L68&gt;0),'قياس الأداء للربع الثالث'!$M68,0)+IF(AND($T68="معتمد",$L68&gt;0),$M68,0))/(IF(AND('قياس الأداء للربع الأول'!$T66="معتمد",'قياس الأداء للربع الأول'!$L66&gt;0),'قياس الأداء للربع الأول'!$L66,0)+IF(AND('قياس الأداء للربع الثاني'!$Q67="معتمد",'قياس الأداء للربع الثاني'!$L67&gt;0),'قياس الأداء للربع الثاني'!$L67,0)+IF(AND('قياس الأداء للربع الثالث'!$T68="معتمد",'قياس الأداء للربع الثالث'!$L68&gt;0),'قياس الأداء للربع الثالث'!$L68,0)+IF(AND($T68="معتمد",$L68&gt;0),$L68,0)),""))</f>
        <v/>
      </c>
      <c r="W68" s="83" t="str">
        <f>IF(AND($T68="معتمد",$K68&gt;0),(IF('قياس الأداء للربع الأول'!$T66="معتمد",'قياس الأداء للربع الأول'!$M66,0)+IF('قياس الأداء للربع الثاني'!$Q67="معتمد",'قياس الأداء للربع الثاني'!$M67,0)+IF('قياس الأداء للربع الثالث'!$T68="معتمد",'قياس الأداء للربع الثالث'!$M68,0)+IF($T68="معتمد",$M68,0))/$K68,"")</f>
        <v/>
      </c>
      <c r="X68" s="40" t="str">
        <f t="shared" si="11"/>
        <v>OPS-02OPS-02-KPI-01نسبة الالتزام بتنفيذ طلبات الفعاليات الداخلية في الوقت المعتمدنسبةكلما زاد كان أفضلربع سنويتقريرإدارة الأداء و النمو00.970.85</v>
      </c>
    </row>
    <row r="69" spans="1:24" ht="15" customHeight="1">
      <c r="A69" s="23" t="s">
        <v>341</v>
      </c>
      <c r="B69" s="23" t="s">
        <v>342</v>
      </c>
      <c r="C69" s="30" t="s">
        <v>343</v>
      </c>
      <c r="D69" s="24"/>
      <c r="E69" s="25" t="s">
        <v>37</v>
      </c>
      <c r="F69" s="23" t="s">
        <v>30</v>
      </c>
      <c r="G69" s="15" t="s">
        <v>31</v>
      </c>
      <c r="H69" s="26" t="s">
        <v>423</v>
      </c>
      <c r="I69" s="9" t="s">
        <v>193</v>
      </c>
      <c r="J69" s="23">
        <v>0</v>
      </c>
      <c r="K69" s="27">
        <v>0</v>
      </c>
      <c r="L69" s="61">
        <v>0</v>
      </c>
      <c r="M69" s="28"/>
      <c r="N69" s="73" t="str">
        <f t="shared" si="8"/>
        <v/>
      </c>
      <c r="O69" s="80" t="str">
        <f t="shared" si="9"/>
        <v/>
      </c>
      <c r="P69" s="81" t="str">
        <f t="shared" si="10"/>
        <v/>
      </c>
      <c r="Q69" s="29"/>
      <c r="R69" s="29"/>
      <c r="S69" s="29"/>
      <c r="T69" s="29"/>
      <c r="U69" s="29"/>
      <c r="V69" s="82" t="str">
        <f>IF($T69&lt;&gt;"معتمد","",IFERROR((IF(AND('قياس الأداء للربع الأول'!$T67="معتمد",'قياس الأداء للربع الأول'!$L67&gt;0),'قياس الأداء للربع الأول'!$M67,0)+IF(AND('قياس الأداء للربع الثاني'!$Q68="معتمد",'قياس الأداء للربع الثاني'!$L68&gt;0),'قياس الأداء للربع الثاني'!$M68,0)+IF(AND('قياس الأداء للربع الثالث'!$T69="معتمد",'قياس الأداء للربع الثالث'!$L69&gt;0),'قياس الأداء للربع الثالث'!$M69,0)+IF(AND($T69="معتمد",$L69&gt;0),$M69,0))/(IF(AND('قياس الأداء للربع الأول'!$T67="معتمد",'قياس الأداء للربع الأول'!$L67&gt;0),'قياس الأداء للربع الأول'!$L67,0)+IF(AND('قياس الأداء للربع الثاني'!$Q68="معتمد",'قياس الأداء للربع الثاني'!$L68&gt;0),'قياس الأداء للربع الثاني'!$L68,0)+IF(AND('قياس الأداء للربع الثالث'!$T69="معتمد",'قياس الأداء للربع الثالث'!$L69&gt;0),'قياس الأداء للربع الثالث'!$L69,0)+IF(AND($T69="معتمد",$L69&gt;0),$L69,0)),""))</f>
        <v/>
      </c>
      <c r="W69" s="83" t="str">
        <f>IF(AND($T69="معتمد",$K69&gt;0),(IF('قياس الأداء للربع الأول'!$T67="معتمد",'قياس الأداء للربع الأول'!$M67,0)+IF('قياس الأداء للربع الثاني'!$Q68="معتمد",'قياس الأداء للربع الثاني'!$M68,0)+IF('قياس الأداء للربع الثالث'!$T69="معتمد",'قياس الأداء للربع الثالث'!$M69,0)+IF($T69="معتمد",$M69,0))/$K69,"")</f>
        <v/>
      </c>
      <c r="X69" s="40" t="str">
        <f t="shared" si="11"/>
        <v>PRG-01PRG-01-KPI-01مستوى رضا المشاركين عن اللقاءات والفعالياتنسبةكلما زاد كان أفضلربع سنويتقريرإدارة الأداء و النمو000</v>
      </c>
    </row>
    <row r="70" spans="1:24" ht="15" customHeight="1">
      <c r="A70" s="23" t="s">
        <v>346</v>
      </c>
      <c r="B70" s="23" t="s">
        <v>347</v>
      </c>
      <c r="C70" s="30" t="s">
        <v>348</v>
      </c>
      <c r="D70" s="24"/>
      <c r="E70" s="25" t="s">
        <v>37</v>
      </c>
      <c r="F70" s="23" t="s">
        <v>30</v>
      </c>
      <c r="G70" s="15" t="s">
        <v>31</v>
      </c>
      <c r="H70" s="26" t="s">
        <v>423</v>
      </c>
      <c r="I70" s="9" t="s">
        <v>193</v>
      </c>
      <c r="J70" s="23">
        <v>0</v>
      </c>
      <c r="K70" s="27">
        <v>0</v>
      </c>
      <c r="L70" s="61">
        <v>0</v>
      </c>
      <c r="M70" s="28"/>
      <c r="N70" s="73" t="str">
        <f t="shared" si="8"/>
        <v/>
      </c>
      <c r="O70" s="80" t="str">
        <f t="shared" si="9"/>
        <v/>
      </c>
      <c r="P70" s="81" t="str">
        <f t="shared" si="10"/>
        <v/>
      </c>
      <c r="Q70" s="29"/>
      <c r="R70" s="29"/>
      <c r="S70" s="29"/>
      <c r="T70" s="29"/>
      <c r="U70" s="29"/>
      <c r="V70" s="82" t="str">
        <f>IF($T70&lt;&gt;"معتمد","",IFERROR((IF(AND('قياس الأداء للربع الأول'!$T68="معتمد",'قياس الأداء للربع الأول'!$L68&gt;0),'قياس الأداء للربع الأول'!$M68,0)+IF(AND('قياس الأداء للربع الثاني'!$Q69="معتمد",'قياس الأداء للربع الثاني'!$L69&gt;0),'قياس الأداء للربع الثاني'!$M69,0)+IF(AND('قياس الأداء للربع الثالث'!$T70="معتمد",'قياس الأداء للربع الثالث'!$L70&gt;0),'قياس الأداء للربع الثالث'!$M70,0)+IF(AND($T70="معتمد",$L70&gt;0),$M70,0))/(IF(AND('قياس الأداء للربع الأول'!$T68="معتمد",'قياس الأداء للربع الأول'!$L68&gt;0),'قياس الأداء للربع الأول'!$L68,0)+IF(AND('قياس الأداء للربع الثاني'!$Q69="معتمد",'قياس الأداء للربع الثاني'!$L69&gt;0),'قياس الأداء للربع الثاني'!$L69,0)+IF(AND('قياس الأداء للربع الثالث'!$T70="معتمد",'قياس الأداء للربع الثالث'!$L70&gt;0),'قياس الأداء للربع الثالث'!$L70,0)+IF(AND($T70="معتمد",$L70&gt;0),$L70,0)),""))</f>
        <v/>
      </c>
      <c r="W70" s="83" t="str">
        <f>IF(AND($T70="معتمد",$K70&gt;0),(IF('قياس الأداء للربع الأول'!$T68="معتمد",'قياس الأداء للربع الأول'!$M68,0)+IF('قياس الأداء للربع الثاني'!$Q69="معتمد",'قياس الأداء للربع الثاني'!$M69,0)+IF('قياس الأداء للربع الثالث'!$T70="معتمد",'قياس الأداء للربع الثالث'!$M70,0)+IF($T70="معتمد",$M70,0))/$K70,"")</f>
        <v/>
      </c>
      <c r="X70" s="40" t="str">
        <f t="shared" si="11"/>
        <v>PRG-02PRG-02-KPI-01نسبة مشاركة سفراء الزاد في الأنشطة المعتمدةنسبةكلما زاد كان أفضلربع سنويتقريرإدارة الأداء و النمو000</v>
      </c>
    </row>
    <row r="71" spans="1:24" ht="15" customHeight="1">
      <c r="A71" s="23" t="s">
        <v>350</v>
      </c>
      <c r="B71" s="23" t="s">
        <v>351</v>
      </c>
      <c r="C71" s="30" t="s">
        <v>352</v>
      </c>
      <c r="D71" s="24"/>
      <c r="E71" s="25" t="s">
        <v>37</v>
      </c>
      <c r="F71" s="23" t="s">
        <v>30</v>
      </c>
      <c r="G71" s="15" t="s">
        <v>31</v>
      </c>
      <c r="H71" s="26" t="s">
        <v>423</v>
      </c>
      <c r="I71" s="9" t="s">
        <v>193</v>
      </c>
      <c r="J71" s="23">
        <v>0</v>
      </c>
      <c r="K71" s="27">
        <v>0.95</v>
      </c>
      <c r="L71" s="56">
        <v>0.9</v>
      </c>
      <c r="M71" s="28"/>
      <c r="N71" s="73" t="str">
        <f t="shared" si="8"/>
        <v/>
      </c>
      <c r="O71" s="80" t="str">
        <f t="shared" si="9"/>
        <v/>
      </c>
      <c r="P71" s="81" t="str">
        <f t="shared" si="10"/>
        <v/>
      </c>
      <c r="Q71" s="29"/>
      <c r="R71" s="29"/>
      <c r="S71" s="29"/>
      <c r="T71" s="29"/>
      <c r="U71" s="29"/>
      <c r="V71" s="82" t="str">
        <f>IF($T71&lt;&gt;"معتمد","",IFERROR((IF(AND('قياس الأداء للربع الأول'!$T69="معتمد",'قياس الأداء للربع الأول'!$L69&gt;0),'قياس الأداء للربع الأول'!$M69,0)+IF(AND('قياس الأداء للربع الثاني'!$Q70="معتمد",'قياس الأداء للربع الثاني'!$L70&gt;0),'قياس الأداء للربع الثاني'!$M70,0)+IF(AND('قياس الأداء للربع الثالث'!$T71="معتمد",'قياس الأداء للربع الثالث'!$L71&gt;0),'قياس الأداء للربع الثالث'!$M71,0)+IF(AND($T71="معتمد",$L71&gt;0),$M71,0))/(IF(AND('قياس الأداء للربع الأول'!$T69="معتمد",'قياس الأداء للربع الأول'!$L69&gt;0),'قياس الأداء للربع الأول'!$L69,0)+IF(AND('قياس الأداء للربع الثاني'!$Q70="معتمد",'قياس الأداء للربع الثاني'!$L70&gt;0),'قياس الأداء للربع الثاني'!$L70,0)+IF(AND('قياس الأداء للربع الثالث'!$T71="معتمد",'قياس الأداء للربع الثالث'!$L71&gt;0),'قياس الأداء للربع الثالث'!$L71,0)+IF(AND($T71="معتمد",$L71&gt;0),$L71,0)),""))</f>
        <v/>
      </c>
      <c r="W71" s="83" t="str">
        <f>IF(AND($T71="معتمد",$K71&gt;0),(IF('قياس الأداء للربع الأول'!$T69="معتمد",'قياس الأداء للربع الأول'!$M69,0)+IF('قياس الأداء للربع الثاني'!$Q70="معتمد",'قياس الأداء للربع الثاني'!$M70,0)+IF('قياس الأداء للربع الثالث'!$T71="معتمد",'قياس الأداء للربع الثالث'!$M71,0)+IF($T71="معتمد",$M71,0))/$K71,"")</f>
        <v/>
      </c>
      <c r="X71" s="40" t="str">
        <f t="shared" si="11"/>
        <v>COM-01COM-01-KPI-01نسبة إنجاز المحتوى وفق خطة النشرنسبةكلما زاد كان أفضلربع سنويتقريرإدارة الأداء و النمو00.950.9</v>
      </c>
    </row>
    <row r="72" spans="1:24" ht="15" customHeight="1">
      <c r="A72" s="23" t="s">
        <v>358</v>
      </c>
      <c r="B72" s="23" t="s">
        <v>359</v>
      </c>
      <c r="C72" s="30" t="s">
        <v>360</v>
      </c>
      <c r="D72" s="24"/>
      <c r="E72" s="25" t="s">
        <v>37</v>
      </c>
      <c r="F72" s="23" t="s">
        <v>30</v>
      </c>
      <c r="G72" s="15" t="s">
        <v>31</v>
      </c>
      <c r="H72" s="26" t="s">
        <v>423</v>
      </c>
      <c r="I72" s="9" t="s">
        <v>193</v>
      </c>
      <c r="J72" s="23">
        <v>0</v>
      </c>
      <c r="K72" s="27">
        <v>0.95</v>
      </c>
      <c r="L72" s="56">
        <v>0.9</v>
      </c>
      <c r="M72" s="28"/>
      <c r="N72" s="73" t="str">
        <f t="shared" si="8"/>
        <v/>
      </c>
      <c r="O72" s="80" t="str">
        <f t="shared" si="9"/>
        <v/>
      </c>
      <c r="P72" s="81" t="str">
        <f t="shared" si="10"/>
        <v/>
      </c>
      <c r="Q72" s="29"/>
      <c r="R72" s="29"/>
      <c r="S72" s="29"/>
      <c r="T72" s="29"/>
      <c r="U72" s="29"/>
      <c r="V72" s="82" t="str">
        <f>IF($T72&lt;&gt;"معتمد","",IFERROR((IF(AND('قياس الأداء للربع الأول'!$T70="معتمد",'قياس الأداء للربع الأول'!$L70&gt;0),'قياس الأداء للربع الأول'!$M70,0)+IF(AND('قياس الأداء للربع الثاني'!$Q71="معتمد",'قياس الأداء للربع الثاني'!$L71&gt;0),'قياس الأداء للربع الثاني'!$M71,0)+IF(AND('قياس الأداء للربع الثالث'!$T72="معتمد",'قياس الأداء للربع الثالث'!$L72&gt;0),'قياس الأداء للربع الثالث'!$M72,0)+IF(AND($T72="معتمد",$L72&gt;0),$M72,0))/(IF(AND('قياس الأداء للربع الأول'!$T70="معتمد",'قياس الأداء للربع الأول'!$L70&gt;0),'قياس الأداء للربع الأول'!$L70,0)+IF(AND('قياس الأداء للربع الثاني'!$Q71="معتمد",'قياس الأداء للربع الثاني'!$L71&gt;0),'قياس الأداء للربع الثاني'!$L71,0)+IF(AND('قياس الأداء للربع الثالث'!$T72="معتمد",'قياس الأداء للربع الثالث'!$L72&gt;0),'قياس الأداء للربع الثالث'!$L72,0)+IF(AND($T72="معتمد",$L72&gt;0),$L72,0)),""))</f>
        <v/>
      </c>
      <c r="W72" s="83" t="str">
        <f>IF(AND($T72="معتمد",$K72&gt;0),(IF('قياس الأداء للربع الأول'!$T70="معتمد",'قياس الأداء للربع الأول'!$M70,0)+IF('قياس الأداء للربع الثاني'!$Q71="معتمد",'قياس الأداء للربع الثاني'!$M71,0)+IF('قياس الأداء للربع الثالث'!$T72="معتمد",'قياس الأداء للربع الثالث'!$M72,0)+IF($T72="معتمد",$M72,0))/$K72,"")</f>
        <v/>
      </c>
      <c r="X72" s="40" t="str">
        <f t="shared" si="11"/>
        <v>COM-02COM-02-KPI-01نسبة الالتزام بزمن تنفيذ الطلبات الإعلاميةنسبةكلما زاد كان أفضلربع سنويتقريرإدارة الأداء و النمو00.950.9</v>
      </c>
    </row>
    <row r="73" spans="1:24" ht="15.75" customHeight="1">
      <c r="A73" s="23" t="s">
        <v>365</v>
      </c>
      <c r="B73" s="23" t="s">
        <v>366</v>
      </c>
      <c r="C73" s="30" t="s">
        <v>367</v>
      </c>
      <c r="D73" s="24"/>
      <c r="E73" s="25" t="s">
        <v>157</v>
      </c>
      <c r="F73" s="23" t="s">
        <v>30</v>
      </c>
      <c r="G73" s="15" t="s">
        <v>31</v>
      </c>
      <c r="H73" s="26" t="s">
        <v>423</v>
      </c>
      <c r="I73" s="9" t="s">
        <v>193</v>
      </c>
      <c r="J73" s="23">
        <v>0</v>
      </c>
      <c r="K73" s="27">
        <v>0</v>
      </c>
      <c r="L73" s="62">
        <v>0</v>
      </c>
      <c r="M73" s="28"/>
      <c r="N73" s="73" t="str">
        <f t="shared" si="8"/>
        <v/>
      </c>
      <c r="O73" s="80" t="str">
        <f t="shared" si="9"/>
        <v/>
      </c>
      <c r="P73" s="81" t="str">
        <f t="shared" si="10"/>
        <v/>
      </c>
      <c r="Q73" s="29"/>
      <c r="R73" s="29"/>
      <c r="S73" s="29"/>
      <c r="T73" s="29"/>
      <c r="U73" s="29"/>
      <c r="V73" s="82" t="str">
        <f>IF($T73&lt;&gt;"معتمد","",IFERROR((IF(AND('قياس الأداء للربع الأول'!$T71="معتمد",'قياس الأداء للربع الأول'!$L71&gt;0),'قياس الأداء للربع الأول'!$M71,0)+IF(AND('قياس الأداء للربع الثاني'!$Q72="معتمد",'قياس الأداء للربع الثاني'!$L72&gt;0),'قياس الأداء للربع الثاني'!$M72,0)+IF(AND('قياس الأداء للربع الثالث'!$T73="معتمد",'قياس الأداء للربع الثالث'!$L73&gt;0),'قياس الأداء للربع الثالث'!$M73,0)+IF(AND($T73="معتمد",$L73&gt;0),$M73,0))/(IF(AND('قياس الأداء للربع الأول'!$T71="معتمد",'قياس الأداء للربع الأول'!$L71&gt;0),'قياس الأداء للربع الأول'!$L71,0)+IF(AND('قياس الأداء للربع الثاني'!$Q72="معتمد",'قياس الأداء للربع الثاني'!$L72&gt;0),'قياس الأداء للربع الثاني'!$L72,0)+IF(AND('قياس الأداء للربع الثالث'!$T73="معتمد",'قياس الأداء للربع الثالث'!$L73&gt;0),'قياس الأداء للربع الثالث'!$L73,0)+IF(AND($T73="معتمد",$L73&gt;0),$L73,0)),""))</f>
        <v/>
      </c>
      <c r="W73" s="83" t="str">
        <f>IF(AND($T73="معتمد",$K73&gt;0),(IF('قياس الأداء للربع الأول'!$T71="معتمد",'قياس الأداء للربع الأول'!$M71,0)+IF('قياس الأداء للربع الثاني'!$Q72="معتمد",'قياس الأداء للربع الثاني'!$M72,0)+IF('قياس الأداء للربع الثالث'!$T73="معتمد",'قياس الأداء للربع الثالث'!$M73,0)+IF($T73="معتمد",$M73,0))/$K73,"")</f>
        <v/>
      </c>
      <c r="X73" s="40" t="str">
        <f t="shared" si="11"/>
        <v>PRT-01PRT-01-KPI-01عدد الشراكات الجديدة الفاعلةعددكلما زاد كان أفضلربع سنويتقريرإدارة الأداء و النمو000</v>
      </c>
    </row>
    <row r="74" spans="1:24" ht="15.75" customHeight="1">
      <c r="A74" s="23" t="s">
        <v>365</v>
      </c>
      <c r="B74" s="23" t="s">
        <v>369</v>
      </c>
      <c r="C74" s="30" t="s">
        <v>370</v>
      </c>
      <c r="D74" s="24"/>
      <c r="E74" s="25" t="s">
        <v>157</v>
      </c>
      <c r="F74" s="23" t="s">
        <v>30</v>
      </c>
      <c r="G74" s="15" t="s">
        <v>31</v>
      </c>
      <c r="H74" s="26" t="s">
        <v>423</v>
      </c>
      <c r="I74" s="9" t="s">
        <v>193</v>
      </c>
      <c r="J74" s="23">
        <v>0</v>
      </c>
      <c r="K74" s="27">
        <v>0</v>
      </c>
      <c r="L74" s="58">
        <v>0</v>
      </c>
      <c r="M74" s="28"/>
      <c r="N74" s="73" t="str">
        <f t="shared" si="8"/>
        <v/>
      </c>
      <c r="O74" s="80" t="str">
        <f t="shared" si="9"/>
        <v/>
      </c>
      <c r="P74" s="81" t="str">
        <f t="shared" si="10"/>
        <v/>
      </c>
      <c r="Q74" s="29"/>
      <c r="R74" s="29"/>
      <c r="S74" s="29"/>
      <c r="T74" s="29"/>
      <c r="U74" s="29"/>
      <c r="V74" s="82" t="str">
        <f>IF($T74&lt;&gt;"معتمد","",IFERROR((IF(AND('قياس الأداء للربع الأول'!$T72="معتمد",'قياس الأداء للربع الأول'!$L72&gt;0),'قياس الأداء للربع الأول'!$M72,0)+IF(AND('قياس الأداء للربع الثاني'!$Q73="معتمد",'قياس الأداء للربع الثاني'!$L73&gt;0),'قياس الأداء للربع الثاني'!$M73,0)+IF(AND('قياس الأداء للربع الثالث'!$T74="معتمد",'قياس الأداء للربع الثالث'!$L74&gt;0),'قياس الأداء للربع الثالث'!$M74,0)+IF(AND($T74="معتمد",$L74&gt;0),$M74,0))/(IF(AND('قياس الأداء للربع الأول'!$T72="معتمد",'قياس الأداء للربع الأول'!$L72&gt;0),'قياس الأداء للربع الأول'!$L72,0)+IF(AND('قياس الأداء للربع الثاني'!$Q73="معتمد",'قياس الأداء للربع الثاني'!$L73&gt;0),'قياس الأداء للربع الثاني'!$L73,0)+IF(AND('قياس الأداء للربع الثالث'!$T74="معتمد",'قياس الأداء للربع الثالث'!$L74&gt;0),'قياس الأداء للربع الثالث'!$L74,0)+IF(AND($T74="معتمد",$L74&gt;0),$L74,0)),""))</f>
        <v/>
      </c>
      <c r="W74" s="83" t="str">
        <f>IF(AND($T74="معتمد",$K74&gt;0),(IF('قياس الأداء للربع الأول'!$T72="معتمد",'قياس الأداء للربع الأول'!$M72,0)+IF('قياس الأداء للربع الثاني'!$Q73="معتمد",'قياس الأداء للربع الثاني'!$M73,0)+IF('قياس الأداء للربع الثالث'!$T74="معتمد",'قياس الأداء للربع الثالث'!$M74,0)+IF($T74="معتمد",$M74,0))/$K74,"")</f>
        <v/>
      </c>
      <c r="X74" s="40" t="str">
        <f t="shared" si="11"/>
        <v>PRT-01PRT-01-KPI-02نسبة تفعيل الشراكات السابقةعددكلما زاد كان أفضلربع سنويتقريرإدارة الأداء و النمو000</v>
      </c>
    </row>
    <row r="75" spans="1:24" ht="15.75" customHeight="1">
      <c r="A75" s="23" t="s">
        <v>365</v>
      </c>
      <c r="B75" s="23" t="s">
        <v>372</v>
      </c>
      <c r="C75" s="30" t="s">
        <v>373</v>
      </c>
      <c r="D75" s="24"/>
      <c r="E75" s="25" t="s">
        <v>157</v>
      </c>
      <c r="F75" s="23" t="s">
        <v>30</v>
      </c>
      <c r="G75" s="15" t="s">
        <v>31</v>
      </c>
      <c r="H75" s="26" t="s">
        <v>423</v>
      </c>
      <c r="I75" s="9" t="s">
        <v>193</v>
      </c>
      <c r="J75" s="23">
        <v>0</v>
      </c>
      <c r="K75" s="27">
        <v>0</v>
      </c>
      <c r="L75" s="63">
        <v>0</v>
      </c>
      <c r="M75" s="28"/>
      <c r="N75" s="73" t="str">
        <f t="shared" si="8"/>
        <v/>
      </c>
      <c r="O75" s="80" t="str">
        <f t="shared" si="9"/>
        <v/>
      </c>
      <c r="P75" s="81" t="str">
        <f t="shared" si="10"/>
        <v/>
      </c>
      <c r="Q75" s="29"/>
      <c r="R75" s="29"/>
      <c r="S75" s="29"/>
      <c r="T75" s="29"/>
      <c r="U75" s="29"/>
      <c r="V75" s="82" t="str">
        <f>IF($T75&lt;&gt;"معتمد","",IFERROR((IF(AND('قياس الأداء للربع الأول'!$T73="معتمد",'قياس الأداء للربع الأول'!$L73&gt;0),'قياس الأداء للربع الأول'!$M73,0)+IF(AND('قياس الأداء للربع الثاني'!$Q74="معتمد",'قياس الأداء للربع الثاني'!$L74&gt;0),'قياس الأداء للربع الثاني'!$M74,0)+IF(AND('قياس الأداء للربع الثالث'!$T75="معتمد",'قياس الأداء للربع الثالث'!$L75&gt;0),'قياس الأداء للربع الثالث'!$M75,0)+IF(AND($T75="معتمد",$L75&gt;0),$M75,0))/(IF(AND('قياس الأداء للربع الأول'!$T73="معتمد",'قياس الأداء للربع الأول'!$L73&gt;0),'قياس الأداء للربع الأول'!$L73,0)+IF(AND('قياس الأداء للربع الثاني'!$Q74="معتمد",'قياس الأداء للربع الثاني'!$L74&gt;0),'قياس الأداء للربع الثاني'!$L74,0)+IF(AND('قياس الأداء للربع الثالث'!$T75="معتمد",'قياس الأداء للربع الثالث'!$L75&gt;0),'قياس الأداء للربع الثالث'!$L75,0)+IF(AND($T75="معتمد",$L75&gt;0),$L75,0)),""))</f>
        <v/>
      </c>
      <c r="W75" s="83" t="str">
        <f>IF(AND($T75="معتمد",$K75&gt;0),(IF('قياس الأداء للربع الأول'!$T73="معتمد",'قياس الأداء للربع الأول'!$M73,0)+IF('قياس الأداء للربع الثاني'!$Q74="معتمد",'قياس الأداء للربع الثاني'!$M74,0)+IF('قياس الأداء للربع الثالث'!$T75="معتمد",'قياس الأداء للربع الثالث'!$M75,0)+IF($T75="معتمد",$M75,0))/$K75,"")</f>
        <v/>
      </c>
      <c r="X75" s="40" t="str">
        <f t="shared" si="11"/>
        <v>PRT-01PRT-01-KPI-03عدد فرص التعاون المنفذة بدون شراكة رسميةعددكلما زاد كان أفضلربع سنويتقريرإدارة الأداء و النمو000</v>
      </c>
    </row>
    <row r="76" spans="1:24" ht="15" customHeight="1">
      <c r="A76" s="23" t="s">
        <v>375</v>
      </c>
      <c r="B76" s="23" t="s">
        <v>376</v>
      </c>
      <c r="C76" s="15" t="s">
        <v>377</v>
      </c>
      <c r="D76" s="24"/>
      <c r="E76" s="25" t="s">
        <v>37</v>
      </c>
      <c r="F76" s="23" t="s">
        <v>30</v>
      </c>
      <c r="G76" s="15" t="s">
        <v>31</v>
      </c>
      <c r="H76" s="26" t="s">
        <v>423</v>
      </c>
      <c r="I76" s="9" t="s">
        <v>193</v>
      </c>
      <c r="J76" s="23">
        <v>0</v>
      </c>
      <c r="K76" s="31">
        <v>0.85</v>
      </c>
      <c r="L76" s="56">
        <v>0.85</v>
      </c>
      <c r="M76" s="28"/>
      <c r="N76" s="73" t="str">
        <f t="shared" si="8"/>
        <v/>
      </c>
      <c r="O76" s="80" t="str">
        <f t="shared" si="9"/>
        <v/>
      </c>
      <c r="P76" s="81" t="str">
        <f t="shared" si="10"/>
        <v/>
      </c>
      <c r="Q76" s="29"/>
      <c r="R76" s="29"/>
      <c r="S76" s="29"/>
      <c r="T76" s="29"/>
      <c r="U76" s="29"/>
      <c r="V76" s="82" t="str">
        <f>IF($T76&lt;&gt;"معتمد","",IFERROR((IF(AND('قياس الأداء للربع الأول'!$T74="معتمد",'قياس الأداء للربع الأول'!$L74&gt;0),'قياس الأداء للربع الأول'!$M74,0)+IF(AND('قياس الأداء للربع الثاني'!$Q75="معتمد",'قياس الأداء للربع الثاني'!$L75&gt;0),'قياس الأداء للربع الثاني'!$M75,0)+IF(AND('قياس الأداء للربع الثالث'!$T76="معتمد",'قياس الأداء للربع الثالث'!$L76&gt;0),'قياس الأداء للربع الثالث'!$M76,0)+IF(AND($T76="معتمد",$L76&gt;0),$M76,0))/(IF(AND('قياس الأداء للربع الأول'!$T74="معتمد",'قياس الأداء للربع الأول'!$L74&gt;0),'قياس الأداء للربع الأول'!$L74,0)+IF(AND('قياس الأداء للربع الثاني'!$Q75="معتمد",'قياس الأداء للربع الثاني'!$L75&gt;0),'قياس الأداء للربع الثاني'!$L75,0)+IF(AND('قياس الأداء للربع الثالث'!$T76="معتمد",'قياس الأداء للربع الثالث'!$L76&gt;0),'قياس الأداء للربع الثالث'!$L76,0)+IF(AND($T76="معتمد",$L76&gt;0),$L76,0)),""))</f>
        <v/>
      </c>
      <c r="W76" s="83" t="str">
        <f>IF(AND($T76="معتمد",$K76&gt;0),(IF('قياس الأداء للربع الأول'!$T74="معتمد",'قياس الأداء للربع الأول'!$M74,0)+IF('قياس الأداء للربع الثاني'!$Q75="معتمد",'قياس الأداء للربع الثاني'!$M75,0)+IF('قياس الأداء للربع الثالث'!$T76="معتمد",'قياس الأداء للربع الثالث'!$M76,0)+IF($T76="معتمد",$M76,0))/$K76,"")</f>
        <v/>
      </c>
      <c r="X76" s="40" t="str">
        <f t="shared" si="11"/>
        <v>EXP-02EXP-02-KPI-01نسبة البرامج أو المبادرات المنفذة بالشراكة بين جمعيتين أو أكثر من إجمالي البرامج المنفذةنسبةكلما زاد كان أفضلربع سنويتقريرإدارة الأداء و النمو00.850.85</v>
      </c>
    </row>
    <row r="77" spans="1:24" ht="15" customHeight="1">
      <c r="A77" s="23" t="s">
        <v>382</v>
      </c>
      <c r="B77" s="23" t="s">
        <v>383</v>
      </c>
      <c r="C77" s="15" t="s">
        <v>384</v>
      </c>
      <c r="D77" s="24"/>
      <c r="E77" s="25" t="s">
        <v>37</v>
      </c>
      <c r="F77" s="23" t="s">
        <v>30</v>
      </c>
      <c r="G77" s="15" t="s">
        <v>31</v>
      </c>
      <c r="H77" s="26" t="s">
        <v>423</v>
      </c>
      <c r="I77" s="9" t="s">
        <v>193</v>
      </c>
      <c r="J77" s="23">
        <v>0</v>
      </c>
      <c r="K77" s="31">
        <v>0.95</v>
      </c>
      <c r="L77" s="55">
        <v>0.95</v>
      </c>
      <c r="M77" s="28"/>
      <c r="N77" s="73" t="str">
        <f t="shared" si="8"/>
        <v/>
      </c>
      <c r="O77" s="80" t="str">
        <f t="shared" si="9"/>
        <v/>
      </c>
      <c r="P77" s="81" t="str">
        <f t="shared" si="10"/>
        <v/>
      </c>
      <c r="Q77" s="29"/>
      <c r="R77" s="29"/>
      <c r="S77" s="29"/>
      <c r="T77" s="29"/>
      <c r="U77" s="29"/>
      <c r="V77" s="82" t="str">
        <f>IF($T77&lt;&gt;"معتمد","",IFERROR((IF(AND('قياس الأداء للربع الأول'!$T75="معتمد",'قياس الأداء للربع الأول'!$L75&gt;0),'قياس الأداء للربع الأول'!$M75,0)+IF(AND('قياس الأداء للربع الثاني'!$Q76="معتمد",'قياس الأداء للربع الثاني'!$L76&gt;0),'قياس الأداء للربع الثاني'!$M76,0)+IF(AND('قياس الأداء للربع الثالث'!$T77="معتمد",'قياس الأداء للربع الثالث'!$L77&gt;0),'قياس الأداء للربع الثالث'!$M77,0)+IF(AND($T77="معتمد",$L77&gt;0),$M77,0))/(IF(AND('قياس الأداء للربع الأول'!$T75="معتمد",'قياس الأداء للربع الأول'!$L75&gt;0),'قياس الأداء للربع الأول'!$L75,0)+IF(AND('قياس الأداء للربع الثاني'!$Q76="معتمد",'قياس الأداء للربع الثاني'!$L76&gt;0),'قياس الأداء للربع الثاني'!$L76,0)+IF(AND('قياس الأداء للربع الثالث'!$T77="معتمد",'قياس الأداء للربع الثالث'!$L77&gt;0),'قياس الأداء للربع الثالث'!$L77,0)+IF(AND($T77="معتمد",$L77&gt;0),$L77,0)),""))</f>
        <v/>
      </c>
      <c r="W77" s="83" t="str">
        <f>IF(AND($T77="معتمد",$K77&gt;0),(IF('قياس الأداء للربع الأول'!$T75="معتمد",'قياس الأداء للربع الأول'!$M75,0)+IF('قياس الأداء للربع الثاني'!$Q76="معتمد",'قياس الأداء للربع الثاني'!$M76,0)+IF('قياس الأداء للربع الثالث'!$T77="معتمد",'قياس الأداء للربع الثالث'!$M77,0)+IF($T77="معتمد",$M77,0))/$K77,"")</f>
        <v/>
      </c>
      <c r="X77" s="40" t="str">
        <f t="shared" si="11"/>
        <v>PRG-05PRG-05-KPI-01نسبة إكتمال ودقة بيانات وملفات المستفيدين المستخدمة في البحث الإجتماعينسبةكلما زاد كان أفضلربع سنويتقريرإدارة الأداء و النمو00.950.95</v>
      </c>
    </row>
    <row r="78" spans="1:24" ht="15" customHeight="1">
      <c r="A78" s="15" t="s">
        <v>386</v>
      </c>
      <c r="B78" s="23" t="s">
        <v>387</v>
      </c>
      <c r="C78" s="30" t="s">
        <v>388</v>
      </c>
      <c r="D78" s="24"/>
      <c r="E78" s="25" t="s">
        <v>37</v>
      </c>
      <c r="F78" s="23" t="s">
        <v>30</v>
      </c>
      <c r="G78" s="15" t="s">
        <v>31</v>
      </c>
      <c r="H78" s="26" t="s">
        <v>423</v>
      </c>
      <c r="I78" s="9" t="s">
        <v>193</v>
      </c>
      <c r="J78" s="23">
        <v>0</v>
      </c>
      <c r="K78" s="27">
        <v>10</v>
      </c>
      <c r="L78" s="56">
        <v>1</v>
      </c>
      <c r="M78" s="28"/>
      <c r="N78" s="73" t="str">
        <f t="shared" si="8"/>
        <v/>
      </c>
      <c r="O78" s="80" t="str">
        <f t="shared" si="9"/>
        <v/>
      </c>
      <c r="P78" s="81" t="str">
        <f t="shared" si="10"/>
        <v/>
      </c>
      <c r="Q78" s="29"/>
      <c r="R78" s="29"/>
      <c r="S78" s="29"/>
      <c r="T78" s="29"/>
      <c r="U78" s="29"/>
      <c r="V78" s="82" t="str">
        <f>IF($T78&lt;&gt;"معتمد","",IFERROR((IF(AND('قياس الأداء للربع الأول'!$T76="معتمد",'قياس الأداء للربع الأول'!$L76&gt;0),'قياس الأداء للربع الأول'!$M76,0)+IF(AND('قياس الأداء للربع الثاني'!$Q77="معتمد",'قياس الأداء للربع الثاني'!$L77&gt;0),'قياس الأداء للربع الثاني'!$M77,0)+IF(AND('قياس الأداء للربع الثالث'!$T78="معتمد",'قياس الأداء للربع الثالث'!$L78&gt;0),'قياس الأداء للربع الثالث'!$M78,0)+IF(AND($T78="معتمد",$L78&gt;0),$M78,0))/(IF(AND('قياس الأداء للربع الأول'!$T76="معتمد",'قياس الأداء للربع الأول'!$L76&gt;0),'قياس الأداء للربع الأول'!$L76,0)+IF(AND('قياس الأداء للربع الثاني'!$Q77="معتمد",'قياس الأداء للربع الثاني'!$L77&gt;0),'قياس الأداء للربع الثاني'!$L77,0)+IF(AND('قياس الأداء للربع الثالث'!$T78="معتمد",'قياس الأداء للربع الثالث'!$L78&gt;0),'قياس الأداء للربع الثالث'!$L78,0)+IF(AND($T78="معتمد",$L78&gt;0),$L78,0)),""))</f>
        <v/>
      </c>
      <c r="W78" s="83" t="str">
        <f>IF(AND($T78="معتمد",$K78&gt;0),(IF('قياس الأداء للربع الأول'!$T76="معتمد",'قياس الأداء للربع الأول'!$M76,0)+IF('قياس الأداء للربع الثاني'!$Q77="معتمد",'قياس الأداء للربع الثاني'!$M77,0)+IF('قياس الأداء للربع الثالث'!$T78="معتمد",'قياس الأداء للربع الثالث'!$M78,0)+IF($T78="معتمد",$M78,0))/$K78,"")</f>
        <v/>
      </c>
      <c r="X78" s="40" t="str">
        <f t="shared" si="11"/>
        <v>PRG-03PRG-03-KPI-01نسبة تحقيق مستهدف الاستعانة بالخبراء والكفاءات المتخصصةنسبةكلما زاد كان أفضلربع سنويتقريرإدارة الأداء و النمو0101</v>
      </c>
    </row>
    <row r="79" spans="1:24" ht="15" customHeight="1">
      <c r="A79" s="15" t="s">
        <v>393</v>
      </c>
      <c r="B79" s="23" t="s">
        <v>394</v>
      </c>
      <c r="C79" s="30" t="s">
        <v>395</v>
      </c>
      <c r="D79" s="24"/>
      <c r="E79" s="25" t="s">
        <v>37</v>
      </c>
      <c r="F79" s="23" t="s">
        <v>30</v>
      </c>
      <c r="G79" s="15" t="s">
        <v>31</v>
      </c>
      <c r="H79" s="26" t="s">
        <v>423</v>
      </c>
      <c r="I79" s="9" t="s">
        <v>193</v>
      </c>
      <c r="J79" s="23">
        <v>0</v>
      </c>
      <c r="K79" s="27">
        <v>60</v>
      </c>
      <c r="L79" s="56">
        <v>15</v>
      </c>
      <c r="M79" s="28"/>
      <c r="N79" s="73" t="str">
        <f t="shared" si="8"/>
        <v/>
      </c>
      <c r="O79" s="80" t="str">
        <f t="shared" si="9"/>
        <v/>
      </c>
      <c r="P79" s="81" t="str">
        <f t="shared" si="10"/>
        <v/>
      </c>
      <c r="Q79" s="29"/>
      <c r="R79" s="29"/>
      <c r="S79" s="29"/>
      <c r="T79" s="29"/>
      <c r="U79" s="29"/>
      <c r="V79" s="82" t="str">
        <f>IF($T79&lt;&gt;"معتمد","",IFERROR((IF(AND('قياس الأداء للربع الأول'!$T77="معتمد",'قياس الأداء للربع الأول'!$L77&gt;0),'قياس الأداء للربع الأول'!$M77,0)+IF(AND('قياس الأداء للربع الثاني'!$Q78="معتمد",'قياس الأداء للربع الثاني'!$L78&gt;0),'قياس الأداء للربع الثاني'!$M78,0)+IF(AND('قياس الأداء للربع الثالث'!$T79="معتمد",'قياس الأداء للربع الثالث'!$L79&gt;0),'قياس الأداء للربع الثالث'!$M79,0)+IF(AND($T79="معتمد",$L79&gt;0),$M79,0))/(IF(AND('قياس الأداء للربع الأول'!$T77="معتمد",'قياس الأداء للربع الأول'!$L77&gt;0),'قياس الأداء للربع الأول'!$L77,0)+IF(AND('قياس الأداء للربع الثاني'!$Q78="معتمد",'قياس الأداء للربع الثاني'!$L78&gt;0),'قياس الأداء للربع الثاني'!$L78,0)+IF(AND('قياس الأداء للربع الثالث'!$T79="معتمد",'قياس الأداء للربع الثالث'!$L79&gt;0),'قياس الأداء للربع الثالث'!$L79,0)+IF(AND($T79="معتمد",$L79&gt;0),$L79,0)),""))</f>
        <v/>
      </c>
      <c r="W79" s="83" t="str">
        <f>IF(AND($T79="معتمد",$K79&gt;0),(IF('قياس الأداء للربع الأول'!$T77="معتمد",'قياس الأداء للربع الأول'!$M77,0)+IF('قياس الأداء للربع الثاني'!$Q78="معتمد",'قياس الأداء للربع الثاني'!$M78,0)+IF('قياس الأداء للربع الثالث'!$T79="معتمد",'قياس الأداء للربع الثالث'!$M79,0)+IF($T79="معتمد",$M79,0))/$K79,"")</f>
        <v/>
      </c>
      <c r="X79" s="40" t="str">
        <f t="shared" si="11"/>
        <v>EXP-01EXP-01-KPI-01نسبة تحقيق مستهدف انتشار خدمات الإدارةنسبةكلما زاد كان أفضلربع سنويتقريرإدارة الأداء و النمو06015</v>
      </c>
    </row>
    <row r="80" spans="1:24" ht="15" customHeight="1">
      <c r="A80" s="15" t="s">
        <v>400</v>
      </c>
      <c r="B80" s="23" t="s">
        <v>401</v>
      </c>
      <c r="C80" s="30" t="s">
        <v>402</v>
      </c>
      <c r="D80" s="24"/>
      <c r="E80" s="25" t="s">
        <v>157</v>
      </c>
      <c r="F80" s="23" t="s">
        <v>30</v>
      </c>
      <c r="G80" s="15" t="s">
        <v>31</v>
      </c>
      <c r="H80" s="26" t="s">
        <v>423</v>
      </c>
      <c r="I80" s="9" t="s">
        <v>193</v>
      </c>
      <c r="J80" s="23">
        <v>0</v>
      </c>
      <c r="K80" s="27">
        <v>6</v>
      </c>
      <c r="L80" s="56">
        <v>0</v>
      </c>
      <c r="M80" s="28"/>
      <c r="N80" s="73" t="str">
        <f t="shared" si="8"/>
        <v/>
      </c>
      <c r="O80" s="80" t="str">
        <f t="shared" si="9"/>
        <v/>
      </c>
      <c r="P80" s="81" t="str">
        <f t="shared" si="10"/>
        <v/>
      </c>
      <c r="Q80" s="29"/>
      <c r="R80" s="29"/>
      <c r="S80" s="29"/>
      <c r="T80" s="29"/>
      <c r="U80" s="29"/>
      <c r="V80" s="82" t="str">
        <f>IF($T80&lt;&gt;"معتمد","",IFERROR((IF(AND('قياس الأداء للربع الأول'!$T78="معتمد",'قياس الأداء للربع الأول'!$L78&gt;0),'قياس الأداء للربع الأول'!$M78,0)+IF(AND('قياس الأداء للربع الثاني'!$Q79="معتمد",'قياس الأداء للربع الثاني'!$L79&gt;0),'قياس الأداء للربع الثاني'!$M79,0)+IF(AND('قياس الأداء للربع الثالث'!$T80="معتمد",'قياس الأداء للربع الثالث'!$L80&gt;0),'قياس الأداء للربع الثالث'!$M80,0)+IF(AND($T80="معتمد",$L80&gt;0),$M80,0))/(IF(AND('قياس الأداء للربع الأول'!$T78="معتمد",'قياس الأداء للربع الأول'!$L78&gt;0),'قياس الأداء للربع الأول'!$L78,0)+IF(AND('قياس الأداء للربع الثاني'!$Q79="معتمد",'قياس الأداء للربع الثاني'!$L79&gt;0),'قياس الأداء للربع الثاني'!$L79,0)+IF(AND('قياس الأداء للربع الثالث'!$T80="معتمد",'قياس الأداء للربع الثالث'!$L80&gt;0),'قياس الأداء للربع الثالث'!$L80,0)+IF(AND($T80="معتمد",$L80&gt;0),$L80,0)),""))</f>
        <v/>
      </c>
      <c r="W80" s="83" t="str">
        <f>IF(AND($T80="معتمد",$K80&gt;0),(IF('قياس الأداء للربع الأول'!$T78="معتمد",'قياس الأداء للربع الأول'!$M78,0)+IF('قياس الأداء للربع الثاني'!$Q79="معتمد",'قياس الأداء للربع الثاني'!$M79,0)+IF('قياس الأداء للربع الثالث'!$T80="معتمد",'قياس الأداء للربع الثالث'!$M80,0)+IF($T80="معتمد",$M80,0))/$K80,"")</f>
        <v/>
      </c>
      <c r="X80" s="40" t="str">
        <f t="shared" si="11"/>
        <v>PRG-04PRG-04-KPI-01عدد المنتجات والمحتويات المعرفية المنتجةعددكلما زاد كان أفضلربع سنويتقريرإدارة الأداء و النمو060</v>
      </c>
    </row>
  </sheetData>
  <mergeCells count="1">
    <mergeCell ref="A1:W1"/>
  </mergeCells>
  <conditionalFormatting sqref="A2:V80">
    <cfRule type="expression" dxfId="111" priority="4">
      <formula>$T2="مرفوض"</formula>
    </cfRule>
    <cfRule type="expression" dxfId="110" priority="5">
      <formula>$T2="معتمد"</formula>
    </cfRule>
    <cfRule type="expression" dxfId="109" priority="6">
      <formula>$T2="تحت المراجعة"</formula>
    </cfRule>
  </conditionalFormatting>
  <conditionalFormatting sqref="AB9:AW9">
    <cfRule type="expression" dxfId="108" priority="1">
      <formula>$T6="مرفوض"</formula>
    </cfRule>
    <cfRule type="expression" dxfId="107" priority="2">
      <formula>$T6="معتمد"</formula>
    </cfRule>
    <cfRule type="expression" dxfId="106" priority="3">
      <formula>$T6="تحت المراجعة"</formula>
    </cfRule>
  </conditionalFormatting>
  <dataValidations count="2">
    <dataValidation type="list" allowBlank="1" showInputMessage="1" showErrorMessage="1" sqref="T3:T80" xr:uid="{00000000-0002-0000-0400-000000000000}">
      <formula1>"تحت المراجعة,معتمد,مرفوض"</formula1>
    </dataValidation>
    <dataValidation type="list" allowBlank="1" showInputMessage="1" showErrorMessage="1" sqref="D3:D80" xr:uid="{00000000-0002-0000-0400-000001000000}">
      <formula1>"استراتيجي,تشغيلي"</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0.249977111117893"/>
  </sheetPr>
  <dimension ref="A1:E9"/>
  <sheetViews>
    <sheetView rightToLeft="1" workbookViewId="0">
      <pane ySplit="2" topLeftCell="A3" activePane="bottomLeft" state="frozen"/>
      <selection pane="bottomLeft" activeCell="B13" sqref="B13"/>
    </sheetView>
  </sheetViews>
  <sheetFormatPr defaultRowHeight="14.45"/>
  <cols>
    <col min="1" max="1" width="35.5703125" customWidth="1"/>
    <col min="2" max="2" width="31.5703125" customWidth="1"/>
    <col min="3" max="3" width="28" customWidth="1"/>
    <col min="4" max="4" width="27" customWidth="1"/>
    <col min="5" max="5" width="26.28515625" customWidth="1"/>
  </cols>
  <sheetData>
    <row r="1" spans="1:5" ht="24" customHeight="1">
      <c r="A1" s="343" t="s">
        <v>427</v>
      </c>
      <c r="B1" s="348"/>
      <c r="C1" s="348"/>
      <c r="D1" s="348"/>
      <c r="E1" s="348"/>
    </row>
    <row r="2" spans="1:5" ht="23.25" customHeight="1">
      <c r="A2" s="225" t="s">
        <v>428</v>
      </c>
      <c r="B2" s="225" t="s">
        <v>429</v>
      </c>
      <c r="C2" s="225" t="s">
        <v>430</v>
      </c>
      <c r="D2" s="225" t="s">
        <v>431</v>
      </c>
      <c r="E2" s="225" t="s">
        <v>432</v>
      </c>
    </row>
    <row r="3" spans="1:5" ht="18">
      <c r="A3" s="190" t="s">
        <v>193</v>
      </c>
      <c r="B3" s="190">
        <v>18</v>
      </c>
      <c r="C3" s="190">
        <v>4</v>
      </c>
      <c r="D3" s="191">
        <f t="shared" ref="D3:D9" si="0">IFERROR($C3/$B3,"")</f>
        <v>0.22222222222222221</v>
      </c>
      <c r="E3" s="190" t="str">
        <f t="shared" ref="E3:E5" si="1">IF($D3="","",IF($D3&lt;0.1,"أداء مستقر",IF($D3&lt;=0.25,"أداء تحت المتابعة","أداء يتطلب تدخلًا تصحيحيًا")))</f>
        <v>أداء تحت المتابعة</v>
      </c>
    </row>
    <row r="4" spans="1:5" ht="18">
      <c r="A4" s="188" t="s">
        <v>107</v>
      </c>
      <c r="B4" s="188">
        <v>17</v>
      </c>
      <c r="C4" s="188">
        <v>12</v>
      </c>
      <c r="D4" s="189">
        <f t="shared" si="0"/>
        <v>0.70588235294117652</v>
      </c>
      <c r="E4" s="188" t="str">
        <f t="shared" si="1"/>
        <v>أداء يتطلب تدخلًا تصحيحيًا</v>
      </c>
    </row>
    <row r="5" spans="1:5" ht="18">
      <c r="A5" s="190" t="s">
        <v>101</v>
      </c>
      <c r="B5" s="190">
        <v>1</v>
      </c>
      <c r="C5" s="190"/>
      <c r="D5" s="191">
        <f t="shared" si="0"/>
        <v>0</v>
      </c>
      <c r="E5" s="190" t="str">
        <f t="shared" si="1"/>
        <v>أداء مستقر</v>
      </c>
    </row>
    <row r="6" spans="1:5" ht="18">
      <c r="A6" s="188" t="s">
        <v>62</v>
      </c>
      <c r="B6" s="188">
        <v>10</v>
      </c>
      <c r="C6" s="188">
        <v>1</v>
      </c>
      <c r="D6" s="189">
        <f t="shared" si="0"/>
        <v>0.1</v>
      </c>
      <c r="E6" s="188" t="str">
        <f>IF($D6="","",IF($D6&lt;0.1,"أداء مستقر",IF($D6&lt;=0.25,"أداء تحت المتابعة","أداء يتطلب تدخلًا تصحيحيًا")))</f>
        <v>أداء تحت المتابعة</v>
      </c>
    </row>
    <row r="7" spans="1:5" ht="18">
      <c r="A7" s="190" t="s">
        <v>33</v>
      </c>
      <c r="B7" s="190">
        <v>6</v>
      </c>
      <c r="C7" s="190">
        <v>0</v>
      </c>
      <c r="D7" s="191">
        <f t="shared" si="0"/>
        <v>0</v>
      </c>
      <c r="E7" s="190" t="str">
        <f t="shared" ref="E7:E8" si="2">IF($D7="","",IF($D7&lt;0.1,"أداء مستقر",IF($D7&lt;=0.25,"أداء تحت المتابعة","أداء يتطلب تدخلًا تصحيحيًا")))</f>
        <v>أداء مستقر</v>
      </c>
    </row>
    <row r="8" spans="1:5" ht="18">
      <c r="A8" s="188" t="s">
        <v>94</v>
      </c>
      <c r="B8" s="188">
        <v>20</v>
      </c>
      <c r="C8" s="188"/>
      <c r="D8" s="189">
        <f t="shared" si="0"/>
        <v>0</v>
      </c>
      <c r="E8" s="188" t="str">
        <f t="shared" si="2"/>
        <v>أداء مستقر</v>
      </c>
    </row>
    <row r="9" spans="1:5" ht="18">
      <c r="A9" s="190" t="s">
        <v>225</v>
      </c>
      <c r="B9" s="190">
        <f>SUM(B3:B8)</f>
        <v>72</v>
      </c>
      <c r="C9" s="190"/>
      <c r="D9" s="191">
        <f t="shared" si="0"/>
        <v>0</v>
      </c>
      <c r="E9" s="190" t="str">
        <f>IF($D9="","",IF($D9&lt;0.1,"أداء مستقر",IF($D9&lt;=0.25,"أداء تحت المتابعة","أداء يتطلب تدخلًا تصحيحيًا")))</f>
        <v>أداء مستقر</v>
      </c>
    </row>
  </sheetData>
  <sheetProtection algorithmName="SHA-512" hashValue="illAbL6yNCilO9gpy2kWXiz4ErfZq1hsg0gFwP5LhxUAy1S2iDQMhybIqOjU/G7lWrz4qXXVSvznskScvWZXBw==" saltValue="61pgW9uL8h2dwlblDA/NwQ==" spinCount="100000" sheet="1" objects="1" scenarios="1"/>
  <autoFilter ref="A2:E9" xr:uid="{00000000-0009-0000-0000-000005000000}"/>
  <mergeCells count="1">
    <mergeCell ref="A1:E1"/>
  </mergeCells>
  <conditionalFormatting sqref="E3:E9">
    <cfRule type="containsText" dxfId="79" priority="1" operator="containsText" text="أداء تحت المتابعة">
      <formula>NOT(ISERROR(SEARCH("أداء تحت المتابعة",E3)))</formula>
    </cfRule>
    <cfRule type="containsText" dxfId="78" priority="2" operator="containsText" text="أداء يتطلب تدخل">
      <formula>NOT(ISERROR(SEARCH("أداء يتطلب تدخل",E3)))</formula>
    </cfRule>
    <cfRule type="containsText" dxfId="77" priority="3" operator="containsText" text="أداء مستقر">
      <formula>NOT(ISERROR(SEARCH("أداء مستقر",E3)))</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ورقة2">
    <tabColor theme="9" tint="0.79998168889431442"/>
  </sheetPr>
  <dimension ref="A1:V2"/>
  <sheetViews>
    <sheetView rightToLeft="1" workbookViewId="0">
      <selection activeCell="U7" sqref="U7"/>
    </sheetView>
  </sheetViews>
  <sheetFormatPr defaultRowHeight="14.45"/>
  <cols>
    <col min="14" max="16" width="0" hidden="1"/>
    <col min="21" max="21" width="15.28515625" bestFit="1" customWidth="1"/>
    <col min="22" max="22" width="0" hidden="1"/>
  </cols>
  <sheetData>
    <row r="1" spans="1:22" ht="16.5" customHeight="1">
      <c r="A1" s="42" t="s">
        <v>1</v>
      </c>
      <c r="B1" s="42" t="s">
        <v>2</v>
      </c>
      <c r="C1" s="42" t="s">
        <v>66</v>
      </c>
      <c r="D1" s="42" t="s">
        <v>4</v>
      </c>
      <c r="E1" s="42" t="s">
        <v>5</v>
      </c>
      <c r="F1" s="42" t="s">
        <v>6</v>
      </c>
      <c r="G1" s="42" t="s">
        <v>7</v>
      </c>
      <c r="H1" s="42" t="s">
        <v>8</v>
      </c>
      <c r="I1" s="42" t="s">
        <v>9</v>
      </c>
      <c r="J1" s="42" t="s">
        <v>10</v>
      </c>
      <c r="K1" s="43" t="s">
        <v>11</v>
      </c>
      <c r="L1" s="44" t="s">
        <v>12</v>
      </c>
      <c r="M1" s="43" t="s">
        <v>13</v>
      </c>
      <c r="N1" s="43" t="s">
        <v>67</v>
      </c>
      <c r="O1" s="45" t="s">
        <v>68</v>
      </c>
      <c r="P1" s="46" t="s">
        <v>69</v>
      </c>
      <c r="Q1" s="42" t="s">
        <v>70</v>
      </c>
      <c r="R1" s="42" t="s">
        <v>71</v>
      </c>
      <c r="S1" s="42" t="s">
        <v>72</v>
      </c>
      <c r="T1" s="42" t="s">
        <v>20</v>
      </c>
      <c r="U1" s="47" t="s">
        <v>21</v>
      </c>
      <c r="V1" s="48" t="s">
        <v>22</v>
      </c>
    </row>
    <row r="2" spans="1:22" ht="18" customHeight="1">
      <c r="A2" s="64"/>
      <c r="B2" s="65"/>
      <c r="C2" s="66"/>
      <c r="D2" s="66"/>
      <c r="E2" s="65"/>
      <c r="F2" s="65"/>
      <c r="G2" s="65"/>
      <c r="H2" s="65"/>
      <c r="I2" s="65"/>
      <c r="J2" s="65"/>
      <c r="K2" s="67"/>
      <c r="L2" s="68"/>
      <c r="M2" s="67"/>
      <c r="N2" s="69"/>
      <c r="O2" s="70"/>
      <c r="P2" s="69"/>
      <c r="Q2" s="66"/>
      <c r="R2" s="66"/>
      <c r="S2" s="66"/>
      <c r="T2" s="66"/>
      <c r="U2" s="66"/>
      <c r="V2" s="71">
        <v>10</v>
      </c>
    </row>
  </sheetData>
  <sheetProtection algorithmName="SHA-512" hashValue="+Cf0PnHL14bRMKA7+BQVwIESew3xflB8CmZo6va0e5PAcbGPTn48bTY/pHlyzm2VFgefUfnSZjDVL15rLMK44w==" saltValue="novP3aAgugdByVZCGsxv6w==" spinCount="100000" sheet="1" objects="1" scenarios="1"/>
  <conditionalFormatting sqref="A1:V2">
    <cfRule type="expression" dxfId="76" priority="1">
      <formula>$T1="مرفوض"</formula>
    </cfRule>
    <cfRule type="expression" dxfId="75" priority="2">
      <formula>$T1="معتمد"</formula>
    </cfRule>
    <cfRule type="expression" dxfId="74" priority="3">
      <formula>$T1="تحت المراجعة"</formula>
    </cfRule>
  </conditionalFormatting>
  <dataValidations count="2">
    <dataValidation type="list" allowBlank="1" showInputMessage="1" showErrorMessage="1" sqref="T2" xr:uid="{00000000-0002-0000-0000-000000000000}">
      <formula1>"تحت المراجعة,معتمد,مرفوض"</formula1>
    </dataValidation>
    <dataValidation type="list" allowBlank="1" showInputMessage="1" showErrorMessage="1" sqref="D2" xr:uid="{00000000-0002-0000-0000-000001000000}">
      <formula1>"استراتيجي,تشغيلي"</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A1:AT87"/>
  <sheetViews>
    <sheetView rightToLeft="1" tabSelected="1" topLeftCell="L68" zoomScaleNormal="100" workbookViewId="0">
      <selection activeCell="P83" sqref="P83"/>
    </sheetView>
  </sheetViews>
  <sheetFormatPr defaultColWidth="9.140625" defaultRowHeight="18" customHeight="1"/>
  <cols>
    <col min="1" max="1" width="14.42578125" style="32" customWidth="1"/>
    <col min="2" max="2" width="17.28515625" customWidth="1"/>
    <col min="3" max="3" width="43.42578125" customWidth="1"/>
    <col min="4" max="4" width="23.42578125" customWidth="1"/>
    <col min="5" max="5" width="20.85546875" style="33" customWidth="1"/>
    <col min="6" max="6" width="16" customWidth="1"/>
    <col min="7" max="7" width="17" customWidth="1"/>
    <col min="8" max="8" width="37.85546875" customWidth="1"/>
    <col min="9" max="9" width="27" style="34" customWidth="1"/>
    <col min="10" max="10" width="18.28515625" hidden="1" customWidth="1"/>
    <col min="11" max="11" width="26.28515625" style="35" customWidth="1"/>
    <col min="12" max="12" width="26.140625" customWidth="1"/>
    <col min="13" max="13" width="28.7109375" style="35" customWidth="1"/>
    <col min="14" max="14" width="19.85546875" style="34" customWidth="1"/>
    <col min="15" max="15" width="19.42578125" style="34" customWidth="1"/>
    <col min="16" max="16" width="19.85546875" style="34" customWidth="1"/>
    <col min="17" max="17" width="18.140625" style="34" customWidth="1"/>
    <col min="18" max="18" width="32" style="34" customWidth="1"/>
    <col min="19" max="19" width="0" hidden="1" bestFit="1"/>
    <col min="20" max="21" width="9.140625" customWidth="1"/>
    <col min="22" max="22" width="15.42578125" customWidth="1"/>
    <col min="23" max="44" width="9.140625" customWidth="1"/>
    <col min="45" max="45" width="0" hidden="1"/>
    <col min="46" max="46" width="9.140625" customWidth="1"/>
  </cols>
  <sheetData>
    <row r="1" spans="1:46" ht="24" customHeight="1">
      <c r="A1" s="340" t="s">
        <v>433</v>
      </c>
      <c r="B1" s="349"/>
      <c r="C1" s="349"/>
      <c r="D1" s="349"/>
      <c r="E1" s="349"/>
      <c r="F1" s="349"/>
      <c r="G1" s="349"/>
      <c r="H1" s="349"/>
      <c r="I1" s="349"/>
      <c r="J1" s="349"/>
      <c r="K1" s="349"/>
      <c r="L1" s="349"/>
      <c r="M1" s="349"/>
      <c r="N1" s="349"/>
      <c r="O1" s="349"/>
      <c r="P1" s="349"/>
      <c r="Q1" s="349"/>
      <c r="R1" s="349"/>
    </row>
    <row r="2" spans="1:46" s="326" customFormat="1" ht="22.5" customHeight="1">
      <c r="A2" s="290" t="s">
        <v>1</v>
      </c>
      <c r="B2" s="290" t="s">
        <v>2</v>
      </c>
      <c r="C2" s="290" t="s">
        <v>66</v>
      </c>
      <c r="D2" s="290" t="s">
        <v>4</v>
      </c>
      <c r="E2" s="290" t="s">
        <v>5</v>
      </c>
      <c r="F2" s="290" t="s">
        <v>6</v>
      </c>
      <c r="G2" s="290" t="s">
        <v>7</v>
      </c>
      <c r="H2" s="290" t="s">
        <v>8</v>
      </c>
      <c r="I2" s="290" t="s">
        <v>9</v>
      </c>
      <c r="J2" s="290" t="s">
        <v>10</v>
      </c>
      <c r="K2" s="291" t="s">
        <v>11</v>
      </c>
      <c r="L2" s="290" t="s">
        <v>434</v>
      </c>
      <c r="M2" s="291" t="s">
        <v>435</v>
      </c>
      <c r="N2" s="290" t="s">
        <v>436</v>
      </c>
      <c r="O2" s="290" t="s">
        <v>437</v>
      </c>
      <c r="P2" s="290" t="s">
        <v>438</v>
      </c>
      <c r="Q2" s="290" t="s">
        <v>20</v>
      </c>
      <c r="R2" s="292" t="s">
        <v>21</v>
      </c>
      <c r="S2" s="325" t="s">
        <v>24</v>
      </c>
    </row>
    <row r="3" spans="1:46" ht="37.5" customHeight="1" thickBot="1">
      <c r="A3" s="327" t="s">
        <v>25</v>
      </c>
      <c r="B3" s="267" t="s">
        <v>26</v>
      </c>
      <c r="C3" s="268" t="s">
        <v>27</v>
      </c>
      <c r="D3" s="268" t="s">
        <v>28</v>
      </c>
      <c r="E3" s="267" t="s">
        <v>29</v>
      </c>
      <c r="F3" s="267" t="s">
        <v>30</v>
      </c>
      <c r="G3" s="267" t="s">
        <v>31</v>
      </c>
      <c r="H3" s="267" t="s">
        <v>32</v>
      </c>
      <c r="I3" s="267" t="s">
        <v>33</v>
      </c>
      <c r="J3" s="267">
        <v>0</v>
      </c>
      <c r="K3" s="328">
        <v>20000</v>
      </c>
      <c r="L3" s="329">
        <v>6000</v>
      </c>
      <c r="M3" s="328"/>
      <c r="N3" s="268"/>
      <c r="O3" s="268"/>
      <c r="P3" s="268"/>
      <c r="Q3" s="268"/>
      <c r="R3" s="268"/>
      <c r="S3" s="40" t="e">
        <f>A3&amp;B3&amp;C3&amp;D3&amp;E3&amp;F3&amp;G3&amp;H3&amp;I3&amp;J3&amp;K3&amp;L3&amp;M3&amp;#REF!&amp;#REF!&amp;#REF!&amp;N3&amp;O3&amp;P3&amp;Q3&amp;R3&amp;#REF!&amp;#REF!</f>
        <v>#REF!</v>
      </c>
      <c r="V3" s="235" t="s">
        <v>34</v>
      </c>
      <c r="W3" s="236"/>
    </row>
    <row r="4" spans="1:46" ht="409.6">
      <c r="A4" s="244" t="s">
        <v>25</v>
      </c>
      <c r="B4" s="245" t="s">
        <v>35</v>
      </c>
      <c r="C4" s="246" t="s">
        <v>36</v>
      </c>
      <c r="D4" s="246" t="s">
        <v>28</v>
      </c>
      <c r="E4" s="245" t="s">
        <v>37</v>
      </c>
      <c r="F4" s="245" t="s">
        <v>30</v>
      </c>
      <c r="G4" s="245" t="s">
        <v>31</v>
      </c>
      <c r="H4" s="245" t="s">
        <v>38</v>
      </c>
      <c r="I4" s="245" t="s">
        <v>33</v>
      </c>
      <c r="J4" s="245">
        <v>0</v>
      </c>
      <c r="K4" s="293">
        <v>0.94</v>
      </c>
      <c r="L4" s="294">
        <v>0.94</v>
      </c>
      <c r="M4" s="247">
        <v>94</v>
      </c>
      <c r="N4" s="249" t="s">
        <v>439</v>
      </c>
      <c r="O4" s="249" t="s">
        <v>440</v>
      </c>
      <c r="P4" s="249" t="s">
        <v>441</v>
      </c>
      <c r="Q4" s="249"/>
      <c r="R4" s="249"/>
      <c r="S4" s="40" t="e">
        <f>A4&amp;B4&amp;C4&amp;D4&amp;E4&amp;F4&amp;G4&amp;H4&amp;I4&amp;J4&amp;K4&amp;L4&amp;M4&amp;#REF!&amp;#REF!&amp;#REF!&amp;N4&amp;O4&amp;P4&amp;Q4&amp;R4&amp;#REF!&amp;#REF!</f>
        <v>#REF!</v>
      </c>
    </row>
    <row r="5" spans="1:46" ht="409.6">
      <c r="A5" s="245" t="s">
        <v>42</v>
      </c>
      <c r="B5" s="245" t="s">
        <v>43</v>
      </c>
      <c r="C5" s="246" t="s">
        <v>44</v>
      </c>
      <c r="D5" s="246" t="s">
        <v>28</v>
      </c>
      <c r="E5" s="245" t="s">
        <v>45</v>
      </c>
      <c r="F5" s="245" t="s">
        <v>30</v>
      </c>
      <c r="G5" s="245" t="s">
        <v>31</v>
      </c>
      <c r="H5" s="245" t="s">
        <v>46</v>
      </c>
      <c r="I5" s="245" t="s">
        <v>33</v>
      </c>
      <c r="J5" s="245">
        <v>0</v>
      </c>
      <c r="K5" s="247">
        <v>450</v>
      </c>
      <c r="L5" s="248">
        <v>50</v>
      </c>
      <c r="M5" s="247">
        <v>65</v>
      </c>
      <c r="N5" s="246" t="s">
        <v>442</v>
      </c>
      <c r="O5" s="246" t="s">
        <v>443</v>
      </c>
      <c r="P5" s="246" t="s">
        <v>444</v>
      </c>
      <c r="Q5" s="246"/>
      <c r="R5" s="246"/>
      <c r="S5" s="40" t="e">
        <f>A5&amp;B5&amp;C5&amp;D5&amp;E5&amp;F5&amp;G5&amp;H5&amp;I5&amp;J5&amp;K5&amp;L5&amp;M5&amp;#REF!&amp;#REF!&amp;#REF!&amp;N5&amp;O5&amp;P5&amp;Q5&amp;R5&amp;#REF!&amp;#REF!</f>
        <v>#REF!</v>
      </c>
    </row>
    <row r="6" spans="1:46" s="12" customFormat="1" ht="78">
      <c r="A6" s="267" t="s">
        <v>42</v>
      </c>
      <c r="B6" s="267" t="s">
        <v>50</v>
      </c>
      <c r="C6" s="268" t="s">
        <v>408</v>
      </c>
      <c r="D6" s="268" t="s">
        <v>28</v>
      </c>
      <c r="E6" s="267" t="s">
        <v>52</v>
      </c>
      <c r="F6" s="267" t="s">
        <v>30</v>
      </c>
      <c r="G6" s="267" t="s">
        <v>31</v>
      </c>
      <c r="H6" s="267" t="s">
        <v>409</v>
      </c>
      <c r="I6" s="267" t="s">
        <v>33</v>
      </c>
      <c r="J6" s="267">
        <v>0</v>
      </c>
      <c r="K6" s="269">
        <v>50</v>
      </c>
      <c r="L6" s="270">
        <v>10</v>
      </c>
      <c r="M6" s="269">
        <v>10</v>
      </c>
      <c r="N6" s="268" t="s">
        <v>445</v>
      </c>
      <c r="O6" s="268" t="s">
        <v>446</v>
      </c>
      <c r="P6" s="268" t="s">
        <v>447</v>
      </c>
      <c r="Q6" s="268"/>
      <c r="R6" s="268"/>
      <c r="S6" s="40" t="e">
        <f>A6&amp;B6&amp;C6&amp;D6&amp;E6&amp;F6&amp;G6&amp;H6&amp;I6&amp;J6&amp;K6&amp;L6&amp;M6&amp;#REF!&amp;#REF!&amp;#REF!&amp;N6&amp;O6&amp;P6&amp;Q6&amp;R6&amp;#REF!&amp;#REF!</f>
        <v>#REF!</v>
      </c>
    </row>
    <row r="7" spans="1:46" s="12" customFormat="1">
      <c r="A7" s="245" t="s">
        <v>57</v>
      </c>
      <c r="B7" s="245" t="s">
        <v>58</v>
      </c>
      <c r="C7" s="246" t="s">
        <v>59</v>
      </c>
      <c r="D7" s="246" t="s">
        <v>28</v>
      </c>
      <c r="E7" s="245" t="s">
        <v>60</v>
      </c>
      <c r="F7" s="245" t="s">
        <v>30</v>
      </c>
      <c r="G7" s="245" t="s">
        <v>31</v>
      </c>
      <c r="H7" s="245" t="s">
        <v>61</v>
      </c>
      <c r="I7" s="245" t="s">
        <v>62</v>
      </c>
      <c r="J7" s="245">
        <v>0</v>
      </c>
      <c r="K7" s="250">
        <v>7</v>
      </c>
      <c r="L7" s="251">
        <v>0</v>
      </c>
      <c r="M7" s="250"/>
      <c r="N7" s="252"/>
      <c r="O7" s="252"/>
      <c r="P7" s="252"/>
      <c r="Q7" s="252"/>
      <c r="R7" s="252"/>
      <c r="S7" s="40" t="e">
        <f>A7&amp;B7&amp;C7&amp;D7&amp;E7&amp;F7&amp;G7&amp;H7&amp;I7&amp;J7&amp;K7&amp;L7&amp;M7&amp;#REF!&amp;#REF!&amp;#REF!&amp;N7&amp;O7&amp;P7&amp;Q7&amp;R7&amp;#REF!&amp;#REF!</f>
        <v>#REF!</v>
      </c>
    </row>
    <row r="8" spans="1:46" s="12" customFormat="1">
      <c r="A8" s="267" t="s">
        <v>57</v>
      </c>
      <c r="B8" s="267" t="s">
        <v>63</v>
      </c>
      <c r="C8" s="268" t="s">
        <v>64</v>
      </c>
      <c r="D8" s="268" t="s">
        <v>28</v>
      </c>
      <c r="E8" s="267" t="s">
        <v>45</v>
      </c>
      <c r="F8" s="267" t="s">
        <v>30</v>
      </c>
      <c r="G8" s="267" t="s">
        <v>31</v>
      </c>
      <c r="H8" s="267" t="s">
        <v>65</v>
      </c>
      <c r="I8" s="267" t="s">
        <v>62</v>
      </c>
      <c r="J8" s="267">
        <v>0</v>
      </c>
      <c r="K8" s="271">
        <v>40000</v>
      </c>
      <c r="L8" s="298">
        <v>26500</v>
      </c>
      <c r="M8" s="271"/>
      <c r="N8" s="272"/>
      <c r="O8" s="272"/>
      <c r="P8" s="272"/>
      <c r="Q8" s="272"/>
      <c r="R8" s="272"/>
      <c r="S8" s="40" t="e">
        <f>A8&amp;B8&amp;C8&amp;D8&amp;E8&amp;F8&amp;G8&amp;H8&amp;I8&amp;J8&amp;K8&amp;L8&amp;M8&amp;#REF!&amp;#REF!&amp;#REF!&amp;N8&amp;O8&amp;P8&amp;Q8&amp;R8&amp;#REF!&amp;#REF!</f>
        <v>#REF!</v>
      </c>
      <c r="X8" s="237" t="s">
        <v>1</v>
      </c>
      <c r="Y8" s="237" t="s">
        <v>2</v>
      </c>
      <c r="Z8" s="237" t="s">
        <v>66</v>
      </c>
      <c r="AA8" s="237" t="s">
        <v>4</v>
      </c>
      <c r="AB8" s="237" t="s">
        <v>5</v>
      </c>
      <c r="AC8" s="237" t="s">
        <v>6</v>
      </c>
      <c r="AD8" s="237" t="s">
        <v>7</v>
      </c>
      <c r="AE8" s="237" t="s">
        <v>8</v>
      </c>
      <c r="AF8" s="237" t="s">
        <v>9</v>
      </c>
      <c r="AG8" s="237" t="s">
        <v>10</v>
      </c>
      <c r="AH8" s="238" t="s">
        <v>11</v>
      </c>
      <c r="AI8" s="239" t="s">
        <v>12</v>
      </c>
      <c r="AJ8" s="238" t="s">
        <v>13</v>
      </c>
      <c r="AK8" s="238" t="s">
        <v>67</v>
      </c>
      <c r="AL8" s="240" t="s">
        <v>68</v>
      </c>
      <c r="AM8" s="241" t="s">
        <v>69</v>
      </c>
      <c r="AN8" s="237" t="s">
        <v>70</v>
      </c>
      <c r="AO8" s="237" t="s">
        <v>71</v>
      </c>
      <c r="AP8" s="237" t="s">
        <v>72</v>
      </c>
      <c r="AQ8" s="237" t="s">
        <v>20</v>
      </c>
      <c r="AR8" s="242" t="s">
        <v>21</v>
      </c>
      <c r="AS8" s="243" t="s">
        <v>22</v>
      </c>
    </row>
    <row r="9" spans="1:46" s="12" customFormat="1">
      <c r="A9" s="245" t="s">
        <v>73</v>
      </c>
      <c r="B9" s="245" t="s">
        <v>74</v>
      </c>
      <c r="C9" s="246" t="s">
        <v>75</v>
      </c>
      <c r="D9" s="246" t="s">
        <v>28</v>
      </c>
      <c r="E9" s="245" t="s">
        <v>76</v>
      </c>
      <c r="F9" s="245" t="s">
        <v>30</v>
      </c>
      <c r="G9" s="245" t="s">
        <v>31</v>
      </c>
      <c r="H9" s="245" t="s">
        <v>77</v>
      </c>
      <c r="I9" s="245" t="s">
        <v>62</v>
      </c>
      <c r="J9" s="245">
        <v>0</v>
      </c>
      <c r="K9" s="269">
        <v>7</v>
      </c>
      <c r="L9" s="299">
        <v>5</v>
      </c>
      <c r="M9" s="247"/>
      <c r="N9" s="246"/>
      <c r="O9" s="246"/>
      <c r="P9" s="246"/>
      <c r="Q9" s="246"/>
      <c r="R9" s="246"/>
      <c r="S9" s="40" t="e">
        <f>A9&amp;B9&amp;C9&amp;D9&amp;E9&amp;F9&amp;G9&amp;H9&amp;I9&amp;J9&amp;K9&amp;L9&amp;M9&amp;#REF!&amp;#REF!&amp;#REF!&amp;N9&amp;O9&amp;P9&amp;Q9&amp;R9&amp;#REF!&amp;#REF!</f>
        <v>#REF!</v>
      </c>
      <c r="W9" s="12" t="e">
        <f t="array" ref="W9:AS18">_xlfn._xlws.FILTER(الجدول42[],ISNUMBER(SEARCH(V3,#REF!)),"غير موجود")</f>
        <v>#VALUE!</v>
      </c>
      <c r="X9" s="12" t="e">
        <v>#VALUE!</v>
      </c>
      <c r="Y9" s="12" t="e">
        <v>#VALUE!</v>
      </c>
      <c r="Z9" s="12" t="e">
        <v>#VALUE!</v>
      </c>
      <c r="AA9" s="12" t="e">
        <v>#VALUE!</v>
      </c>
      <c r="AB9" s="12" t="e">
        <v>#VALUE!</v>
      </c>
      <c r="AC9" s="12" t="e">
        <v>#VALUE!</v>
      </c>
      <c r="AD9" s="12" t="e">
        <v>#VALUE!</v>
      </c>
      <c r="AE9" s="12" t="e">
        <v>#VALUE!</v>
      </c>
      <c r="AF9" s="12" t="e">
        <v>#VALUE!</v>
      </c>
      <c r="AG9" s="12" t="e">
        <v>#VALUE!</v>
      </c>
      <c r="AH9" s="12" t="e">
        <v>#VALUE!</v>
      </c>
      <c r="AI9" s="12" t="e">
        <v>#VALUE!</v>
      </c>
      <c r="AJ9" s="12" t="e">
        <v>#VALUE!</v>
      </c>
      <c r="AK9" s="12" t="e">
        <v>#VALUE!</v>
      </c>
      <c r="AL9" s="12" t="e">
        <v>#VALUE!</v>
      </c>
      <c r="AM9" s="12" t="e">
        <v>#VALUE!</v>
      </c>
      <c r="AN9" s="12" t="e">
        <v>#VALUE!</v>
      </c>
      <c r="AO9" s="12" t="e">
        <v>#VALUE!</v>
      </c>
      <c r="AP9" s="12" t="e">
        <v>#VALUE!</v>
      </c>
      <c r="AQ9" s="12" t="e">
        <v>#VALUE!</v>
      </c>
      <c r="AR9" s="12" t="e">
        <v>#VALUE!</v>
      </c>
      <c r="AS9" s="12" t="e">
        <v>#VALUE!</v>
      </c>
      <c r="AT9" s="12" t="s">
        <v>413</v>
      </c>
    </row>
    <row r="10" spans="1:46" s="12" customFormat="1">
      <c r="A10" s="267" t="s">
        <v>73</v>
      </c>
      <c r="B10" s="267" t="s">
        <v>83</v>
      </c>
      <c r="C10" s="268" t="s">
        <v>84</v>
      </c>
      <c r="D10" s="268" t="s">
        <v>28</v>
      </c>
      <c r="E10" s="267" t="s">
        <v>85</v>
      </c>
      <c r="F10" s="267" t="s">
        <v>30</v>
      </c>
      <c r="G10" s="267" t="s">
        <v>31</v>
      </c>
      <c r="H10" s="267" t="s">
        <v>86</v>
      </c>
      <c r="I10" s="267" t="s">
        <v>62</v>
      </c>
      <c r="J10" s="267">
        <v>0</v>
      </c>
      <c r="K10" s="269">
        <v>70000</v>
      </c>
      <c r="L10" s="299">
        <v>30000</v>
      </c>
      <c r="M10" s="269"/>
      <c r="N10" s="268"/>
      <c r="O10" s="268"/>
      <c r="P10" s="268"/>
      <c r="Q10" s="268"/>
      <c r="R10" s="268"/>
      <c r="S10" s="40" t="e">
        <f>A10&amp;B10&amp;C10&amp;D10&amp;E10&amp;F10&amp;G10&amp;H10&amp;I10&amp;J10&amp;K10&amp;L10&amp;M10&amp;#REF!&amp;#REF!&amp;#REF!&amp;N10&amp;O10&amp;P10&amp;Q10&amp;R10&amp;#REF!&amp;#REF!</f>
        <v>#REF!</v>
      </c>
      <c r="W10" s="12" t="e">
        <v>#VALUE!</v>
      </c>
      <c r="X10" s="12" t="e">
        <v>#VALUE!</v>
      </c>
      <c r="Y10" s="12" t="e">
        <v>#VALUE!</v>
      </c>
      <c r="Z10" s="12" t="e">
        <v>#VALUE!</v>
      </c>
      <c r="AA10" s="12" t="e">
        <v>#VALUE!</v>
      </c>
      <c r="AB10" s="12" t="e">
        <v>#VALUE!</v>
      </c>
      <c r="AC10" s="12" t="e">
        <v>#VALUE!</v>
      </c>
      <c r="AD10" s="12" t="e">
        <v>#VALUE!</v>
      </c>
      <c r="AE10" s="12" t="e">
        <v>#VALUE!</v>
      </c>
      <c r="AF10" s="12" t="e">
        <v>#VALUE!</v>
      </c>
      <c r="AG10" s="12" t="e">
        <v>#VALUE!</v>
      </c>
      <c r="AH10" s="12" t="e">
        <v>#VALUE!</v>
      </c>
      <c r="AI10" s="12" t="e">
        <v>#VALUE!</v>
      </c>
      <c r="AJ10" s="12" t="e">
        <v>#VALUE!</v>
      </c>
      <c r="AK10" s="12" t="e">
        <v>#VALUE!</v>
      </c>
      <c r="AL10" s="12" t="e">
        <v>#VALUE!</v>
      </c>
      <c r="AM10" s="12" t="e">
        <v>#VALUE!</v>
      </c>
      <c r="AN10" s="12" t="e">
        <v>#VALUE!</v>
      </c>
      <c r="AO10" s="12" t="e">
        <v>#VALUE!</v>
      </c>
      <c r="AP10" s="12" t="e">
        <v>#VALUE!</v>
      </c>
      <c r="AQ10" s="12" t="e">
        <v>#VALUE!</v>
      </c>
      <c r="AR10" s="12" t="e">
        <v>#VALUE!</v>
      </c>
      <c r="AS10" s="12" t="e">
        <v>#VALUE!</v>
      </c>
      <c r="AT10" s="12" t="s">
        <v>414</v>
      </c>
    </row>
    <row r="11" spans="1:46" s="12" customFormat="1">
      <c r="A11" s="245" t="s">
        <v>90</v>
      </c>
      <c r="B11" s="245" t="s">
        <v>91</v>
      </c>
      <c r="C11" s="246" t="s">
        <v>92</v>
      </c>
      <c r="D11" s="246" t="s">
        <v>28</v>
      </c>
      <c r="E11" s="245" t="s">
        <v>29</v>
      </c>
      <c r="F11" s="245" t="s">
        <v>30</v>
      </c>
      <c r="G11" s="245" t="s">
        <v>31</v>
      </c>
      <c r="H11" s="245" t="s">
        <v>93</v>
      </c>
      <c r="I11" s="245" t="s">
        <v>94</v>
      </c>
      <c r="J11" s="245">
        <v>0</v>
      </c>
      <c r="K11" s="247">
        <v>1500000</v>
      </c>
      <c r="L11" s="308">
        <v>330000</v>
      </c>
      <c r="M11" s="247"/>
      <c r="N11" s="246"/>
      <c r="O11" s="246"/>
      <c r="P11" s="246"/>
      <c r="Q11" s="246"/>
      <c r="R11" s="246"/>
      <c r="S11" s="40" t="e">
        <f>A11&amp;B11&amp;C11&amp;D11&amp;E11&amp;F11&amp;G11&amp;H11&amp;I11&amp;J11&amp;K11&amp;L11&amp;M11&amp;#REF!&amp;#REF!&amp;#REF!&amp;N11&amp;O11&amp;P11&amp;Q11&amp;R11&amp;#REF!&amp;#REF!</f>
        <v>#REF!</v>
      </c>
      <c r="W11" s="12" t="e">
        <v>#VALUE!</v>
      </c>
      <c r="X11" s="12" t="e">
        <v>#VALUE!</v>
      </c>
      <c r="Y11" s="12" t="e">
        <v>#VALUE!</v>
      </c>
      <c r="Z11" s="12" t="e">
        <v>#VALUE!</v>
      </c>
      <c r="AA11" s="12" t="e">
        <v>#VALUE!</v>
      </c>
      <c r="AB11" s="12" t="e">
        <v>#VALUE!</v>
      </c>
      <c r="AC11" s="12" t="e">
        <v>#VALUE!</v>
      </c>
      <c r="AD11" s="12" t="e">
        <v>#VALUE!</v>
      </c>
      <c r="AE11" s="12" t="e">
        <v>#VALUE!</v>
      </c>
      <c r="AF11" s="12" t="e">
        <v>#VALUE!</v>
      </c>
      <c r="AG11" s="12" t="e">
        <v>#VALUE!</v>
      </c>
      <c r="AH11" s="12" t="e">
        <v>#VALUE!</v>
      </c>
      <c r="AI11" s="12" t="e">
        <v>#VALUE!</v>
      </c>
      <c r="AJ11" s="12" t="e">
        <v>#VALUE!</v>
      </c>
      <c r="AK11" s="12" t="e">
        <v>#VALUE!</v>
      </c>
      <c r="AL11" s="12" t="e">
        <v>#VALUE!</v>
      </c>
      <c r="AM11" s="12" t="e">
        <v>#VALUE!</v>
      </c>
      <c r="AN11" s="12" t="e">
        <v>#VALUE!</v>
      </c>
      <c r="AO11" s="12" t="e">
        <v>#VALUE!</v>
      </c>
      <c r="AP11" s="12" t="e">
        <v>#VALUE!</v>
      </c>
      <c r="AQ11" s="12" t="e">
        <v>#VALUE!</v>
      </c>
      <c r="AR11" s="12" t="e">
        <v>#VALUE!</v>
      </c>
      <c r="AS11" s="12" t="e">
        <v>#VALUE!</v>
      </c>
      <c r="AT11" s="12" t="s">
        <v>415</v>
      </c>
    </row>
    <row r="12" spans="1:46" s="12" customFormat="1">
      <c r="A12" s="267" t="s">
        <v>90</v>
      </c>
      <c r="B12" s="267" t="s">
        <v>98</v>
      </c>
      <c r="C12" s="268" t="s">
        <v>99</v>
      </c>
      <c r="D12" s="268" t="s">
        <v>28</v>
      </c>
      <c r="E12" s="267" t="s">
        <v>29</v>
      </c>
      <c r="F12" s="267" t="s">
        <v>30</v>
      </c>
      <c r="G12" s="267" t="s">
        <v>31</v>
      </c>
      <c r="H12" s="267" t="s">
        <v>100</v>
      </c>
      <c r="I12" s="267" t="s">
        <v>101</v>
      </c>
      <c r="J12" s="267">
        <v>0</v>
      </c>
      <c r="K12" s="269">
        <v>10350000</v>
      </c>
      <c r="L12" s="273">
        <v>0</v>
      </c>
      <c r="M12" s="269"/>
      <c r="N12" s="274"/>
      <c r="O12" s="274"/>
      <c r="P12" s="274"/>
      <c r="Q12" s="274"/>
      <c r="R12" s="274"/>
      <c r="S12" s="40" t="e">
        <f>A12&amp;B12&amp;C12&amp;D12&amp;E12&amp;F12&amp;G12&amp;H12&amp;I12&amp;J12&amp;K12&amp;L12&amp;M12&amp;#REF!&amp;#REF!&amp;#REF!&amp;N12&amp;O12&amp;P12&amp;Q12&amp;R12&amp;#REF!&amp;#REF!</f>
        <v>#REF!</v>
      </c>
      <c r="W12" s="12" t="e">
        <v>#VALUE!</v>
      </c>
      <c r="X12" s="12" t="e">
        <v>#VALUE!</v>
      </c>
      <c r="Y12" s="12" t="e">
        <v>#VALUE!</v>
      </c>
      <c r="Z12" s="12" t="e">
        <v>#VALUE!</v>
      </c>
      <c r="AA12" s="12" t="e">
        <v>#VALUE!</v>
      </c>
      <c r="AB12" s="12" t="e">
        <v>#VALUE!</v>
      </c>
      <c r="AC12" s="12" t="e">
        <v>#VALUE!</v>
      </c>
      <c r="AD12" s="12" t="e">
        <v>#VALUE!</v>
      </c>
      <c r="AE12" s="12" t="e">
        <v>#VALUE!</v>
      </c>
      <c r="AF12" s="12" t="e">
        <v>#VALUE!</v>
      </c>
      <c r="AG12" s="12" t="e">
        <v>#VALUE!</v>
      </c>
      <c r="AH12" s="12" t="e">
        <v>#VALUE!</v>
      </c>
      <c r="AI12" s="12" t="e">
        <v>#VALUE!</v>
      </c>
      <c r="AJ12" s="12" t="e">
        <v>#VALUE!</v>
      </c>
      <c r="AK12" s="12" t="e">
        <v>#VALUE!</v>
      </c>
      <c r="AL12" s="12" t="e">
        <v>#VALUE!</v>
      </c>
      <c r="AM12" s="12" t="e">
        <v>#VALUE!</v>
      </c>
      <c r="AN12" s="12" t="e">
        <v>#VALUE!</v>
      </c>
      <c r="AO12" s="12" t="e">
        <v>#VALUE!</v>
      </c>
      <c r="AP12" s="12" t="e">
        <v>#VALUE!</v>
      </c>
      <c r="AQ12" s="12" t="e">
        <v>#VALUE!</v>
      </c>
      <c r="AR12" s="12" t="e">
        <v>#VALUE!</v>
      </c>
      <c r="AS12" s="12" t="e">
        <v>#VALUE!</v>
      </c>
      <c r="AT12" s="12" t="s">
        <v>416</v>
      </c>
    </row>
    <row r="13" spans="1:46" s="12" customFormat="1">
      <c r="A13" s="245" t="s">
        <v>102</v>
      </c>
      <c r="B13" s="245" t="s">
        <v>103</v>
      </c>
      <c r="C13" s="246" t="s">
        <v>104</v>
      </c>
      <c r="D13" s="246" t="s">
        <v>28</v>
      </c>
      <c r="E13" s="245" t="s">
        <v>105</v>
      </c>
      <c r="F13" s="245" t="s">
        <v>30</v>
      </c>
      <c r="G13" s="245" t="s">
        <v>31</v>
      </c>
      <c r="H13" s="245" t="s">
        <v>106</v>
      </c>
      <c r="I13" s="245" t="s">
        <v>107</v>
      </c>
      <c r="J13" s="245">
        <v>0</v>
      </c>
      <c r="K13" s="247">
        <v>1</v>
      </c>
      <c r="L13" s="248">
        <v>0</v>
      </c>
      <c r="M13" s="247"/>
      <c r="N13" s="246"/>
      <c r="O13" s="246"/>
      <c r="P13" s="246"/>
      <c r="Q13" s="246"/>
      <c r="R13" s="246"/>
      <c r="S13" s="40" t="e">
        <f>A13&amp;B13&amp;C13&amp;D13&amp;E13&amp;F13&amp;G13&amp;H13&amp;I13&amp;J13&amp;K13&amp;L13&amp;M13&amp;#REF!&amp;#REF!&amp;#REF!&amp;N13&amp;O13&amp;P13&amp;Q13&amp;R13&amp;#REF!&amp;#REF!</f>
        <v>#REF!</v>
      </c>
      <c r="W13" s="12" t="e">
        <v>#VALUE!</v>
      </c>
      <c r="X13" s="12" t="e">
        <v>#VALUE!</v>
      </c>
      <c r="Y13" s="12" t="e">
        <v>#VALUE!</v>
      </c>
      <c r="Z13" s="12" t="e">
        <v>#VALUE!</v>
      </c>
      <c r="AA13" s="12" t="e">
        <v>#VALUE!</v>
      </c>
      <c r="AB13" s="12" t="e">
        <v>#VALUE!</v>
      </c>
      <c r="AC13" s="12" t="e">
        <v>#VALUE!</v>
      </c>
      <c r="AD13" s="12" t="e">
        <v>#VALUE!</v>
      </c>
      <c r="AE13" s="12" t="e">
        <v>#VALUE!</v>
      </c>
      <c r="AF13" s="12" t="e">
        <v>#VALUE!</v>
      </c>
      <c r="AG13" s="12" t="e">
        <v>#VALUE!</v>
      </c>
      <c r="AH13" s="12" t="e">
        <v>#VALUE!</v>
      </c>
      <c r="AI13" s="12" t="e">
        <v>#VALUE!</v>
      </c>
      <c r="AJ13" s="12" t="e">
        <v>#VALUE!</v>
      </c>
      <c r="AK13" s="12" t="e">
        <v>#VALUE!</v>
      </c>
      <c r="AL13" s="12" t="e">
        <v>#VALUE!</v>
      </c>
      <c r="AM13" s="12" t="e">
        <v>#VALUE!</v>
      </c>
      <c r="AN13" s="12" t="e">
        <v>#VALUE!</v>
      </c>
      <c r="AO13" s="12" t="e">
        <v>#VALUE!</v>
      </c>
      <c r="AP13" s="12" t="e">
        <v>#VALUE!</v>
      </c>
      <c r="AQ13" s="12" t="e">
        <v>#VALUE!</v>
      </c>
      <c r="AR13" s="12" t="e">
        <v>#VALUE!</v>
      </c>
      <c r="AS13" s="12" t="e">
        <v>#VALUE!</v>
      </c>
      <c r="AT13" s="12" t="s">
        <v>417</v>
      </c>
    </row>
    <row r="14" spans="1:46" s="12" customFormat="1">
      <c r="A14" s="267" t="s">
        <v>102</v>
      </c>
      <c r="B14" s="267" t="s">
        <v>109</v>
      </c>
      <c r="C14" s="268" t="s">
        <v>110</v>
      </c>
      <c r="D14" s="268" t="s">
        <v>28</v>
      </c>
      <c r="E14" s="267" t="s">
        <v>29</v>
      </c>
      <c r="F14" s="267" t="s">
        <v>30</v>
      </c>
      <c r="G14" s="267" t="s">
        <v>31</v>
      </c>
      <c r="H14" s="267" t="s">
        <v>111</v>
      </c>
      <c r="I14" s="267" t="s">
        <v>107</v>
      </c>
      <c r="J14" s="267">
        <v>0</v>
      </c>
      <c r="K14" s="269">
        <v>50000</v>
      </c>
      <c r="L14" s="270">
        <v>0</v>
      </c>
      <c r="M14" s="269"/>
      <c r="N14" s="268"/>
      <c r="O14" s="268"/>
      <c r="P14" s="268"/>
      <c r="Q14" s="268"/>
      <c r="R14" s="268"/>
      <c r="S14" s="40" t="e">
        <f>A14&amp;B14&amp;C14&amp;D14&amp;E14&amp;F14&amp;G14&amp;H14&amp;I14&amp;J14&amp;K14&amp;L14&amp;M14&amp;#REF!&amp;#REF!&amp;#REF!&amp;N14&amp;O14&amp;P14&amp;Q14&amp;R14&amp;#REF!&amp;#REF!</f>
        <v>#REF!</v>
      </c>
      <c r="W14" s="12" t="e">
        <v>#VALUE!</v>
      </c>
      <c r="X14" s="12" t="e">
        <v>#VALUE!</v>
      </c>
      <c r="Y14" s="12" t="e">
        <v>#VALUE!</v>
      </c>
      <c r="Z14" s="12" t="e">
        <v>#VALUE!</v>
      </c>
      <c r="AA14" s="12" t="e">
        <v>#VALUE!</v>
      </c>
      <c r="AB14" s="12" t="e">
        <v>#VALUE!</v>
      </c>
      <c r="AC14" s="12" t="e">
        <v>#VALUE!</v>
      </c>
      <c r="AD14" s="12" t="e">
        <v>#VALUE!</v>
      </c>
      <c r="AE14" s="12" t="e">
        <v>#VALUE!</v>
      </c>
      <c r="AF14" s="12" t="e">
        <v>#VALUE!</v>
      </c>
      <c r="AG14" s="12" t="e">
        <v>#VALUE!</v>
      </c>
      <c r="AH14" s="12" t="e">
        <v>#VALUE!</v>
      </c>
      <c r="AI14" s="12" t="e">
        <v>#VALUE!</v>
      </c>
      <c r="AJ14" s="12" t="e">
        <v>#VALUE!</v>
      </c>
      <c r="AK14" s="12" t="e">
        <v>#VALUE!</v>
      </c>
      <c r="AL14" s="12" t="e">
        <v>#VALUE!</v>
      </c>
      <c r="AM14" s="12" t="e">
        <v>#VALUE!</v>
      </c>
      <c r="AN14" s="12" t="e">
        <v>#VALUE!</v>
      </c>
      <c r="AO14" s="12" t="e">
        <v>#VALUE!</v>
      </c>
      <c r="AP14" s="12" t="e">
        <v>#VALUE!</v>
      </c>
      <c r="AQ14" s="12" t="e">
        <v>#VALUE!</v>
      </c>
      <c r="AR14" s="12" t="e">
        <v>#VALUE!</v>
      </c>
      <c r="AS14" s="12" t="e">
        <v>#VALUE!</v>
      </c>
      <c r="AT14" s="12" t="s">
        <v>418</v>
      </c>
    </row>
    <row r="15" spans="1:46" s="12" customFormat="1">
      <c r="A15" s="245" t="s">
        <v>102</v>
      </c>
      <c r="B15" s="245" t="s">
        <v>112</v>
      </c>
      <c r="C15" s="246" t="s">
        <v>113</v>
      </c>
      <c r="D15" s="246" t="s">
        <v>28</v>
      </c>
      <c r="E15" s="245" t="s">
        <v>29</v>
      </c>
      <c r="F15" s="245" t="s">
        <v>30</v>
      </c>
      <c r="G15" s="245" t="s">
        <v>31</v>
      </c>
      <c r="H15" s="245" t="s">
        <v>114</v>
      </c>
      <c r="I15" s="245" t="s">
        <v>107</v>
      </c>
      <c r="J15" s="245">
        <v>0</v>
      </c>
      <c r="K15" s="254">
        <v>0</v>
      </c>
      <c r="L15" s="248">
        <v>0</v>
      </c>
      <c r="M15" s="254"/>
      <c r="N15" s="245"/>
      <c r="O15" s="245"/>
      <c r="P15" s="245"/>
      <c r="Q15" s="245"/>
      <c r="R15" s="245"/>
      <c r="S15" s="40" t="e">
        <f>A15&amp;B15&amp;C15&amp;D15&amp;E15&amp;F15&amp;G15&amp;H15&amp;I15&amp;J15&amp;K15&amp;L15&amp;M15&amp;#REF!&amp;#REF!&amp;#REF!&amp;N15&amp;O15&amp;P15&amp;Q15&amp;R15&amp;#REF!&amp;#REF!</f>
        <v>#REF!</v>
      </c>
      <c r="W15" s="12" t="e">
        <v>#VALUE!</v>
      </c>
      <c r="X15" s="12" t="e">
        <v>#VALUE!</v>
      </c>
      <c r="Y15" s="12" t="e">
        <v>#VALUE!</v>
      </c>
      <c r="Z15" s="12" t="e">
        <v>#VALUE!</v>
      </c>
      <c r="AA15" s="12" t="e">
        <v>#VALUE!</v>
      </c>
      <c r="AB15" s="12" t="e">
        <v>#VALUE!</v>
      </c>
      <c r="AC15" s="12" t="e">
        <v>#VALUE!</v>
      </c>
      <c r="AD15" s="12" t="e">
        <v>#VALUE!</v>
      </c>
      <c r="AE15" s="12" t="e">
        <v>#VALUE!</v>
      </c>
      <c r="AF15" s="12" t="e">
        <v>#VALUE!</v>
      </c>
      <c r="AG15" s="12" t="e">
        <v>#VALUE!</v>
      </c>
      <c r="AH15" s="12" t="e">
        <v>#VALUE!</v>
      </c>
      <c r="AI15" s="12" t="e">
        <v>#VALUE!</v>
      </c>
      <c r="AJ15" s="12" t="e">
        <v>#VALUE!</v>
      </c>
      <c r="AK15" s="12" t="e">
        <v>#VALUE!</v>
      </c>
      <c r="AL15" s="12" t="e">
        <v>#VALUE!</v>
      </c>
      <c r="AM15" s="12" t="e">
        <v>#VALUE!</v>
      </c>
      <c r="AN15" s="12" t="e">
        <v>#VALUE!</v>
      </c>
      <c r="AO15" s="12" t="e">
        <v>#VALUE!</v>
      </c>
      <c r="AP15" s="12" t="e">
        <v>#VALUE!</v>
      </c>
      <c r="AQ15" s="12" t="e">
        <v>#VALUE!</v>
      </c>
      <c r="AR15" s="12" t="e">
        <v>#VALUE!</v>
      </c>
      <c r="AS15" s="12" t="e">
        <v>#VALUE!</v>
      </c>
      <c r="AT15" s="12" t="s">
        <v>419</v>
      </c>
    </row>
    <row r="16" spans="1:46" s="12" customFormat="1" ht="352.5">
      <c r="A16" s="267" t="s">
        <v>116</v>
      </c>
      <c r="B16" s="267" t="s">
        <v>117</v>
      </c>
      <c r="C16" s="268" t="s">
        <v>118</v>
      </c>
      <c r="D16" s="268" t="s">
        <v>28</v>
      </c>
      <c r="E16" s="267" t="s">
        <v>119</v>
      </c>
      <c r="F16" s="267" t="s">
        <v>30</v>
      </c>
      <c r="G16" s="267" t="s">
        <v>31</v>
      </c>
      <c r="H16" s="267" t="s">
        <v>120</v>
      </c>
      <c r="I16" s="267" t="s">
        <v>121</v>
      </c>
      <c r="J16" s="267">
        <v>0</v>
      </c>
      <c r="K16" s="275">
        <v>14</v>
      </c>
      <c r="L16" s="273">
        <v>5</v>
      </c>
      <c r="M16" s="275"/>
      <c r="N16" s="278" t="s">
        <v>448</v>
      </c>
      <c r="O16" s="278" t="s">
        <v>449</v>
      </c>
      <c r="P16" s="267" t="s">
        <v>450</v>
      </c>
      <c r="Q16" s="267"/>
      <c r="R16" s="267"/>
      <c r="S16" s="40" t="e">
        <f>A16&amp;B16&amp;C16&amp;D16&amp;E16&amp;F16&amp;G16&amp;H16&amp;I16&amp;J16&amp;K16&amp;L16&amp;M16&amp;#REF!&amp;#REF!&amp;#REF!&amp;N16&amp;O16&amp;P16&amp;Q16&amp;R16&amp;#REF!&amp;#REF!</f>
        <v>#REF!</v>
      </c>
      <c r="W16" s="12" t="e">
        <v>#VALUE!</v>
      </c>
      <c r="X16" s="12" t="e">
        <v>#VALUE!</v>
      </c>
      <c r="Y16" s="12" t="e">
        <v>#VALUE!</v>
      </c>
      <c r="Z16" s="12" t="e">
        <v>#VALUE!</v>
      </c>
      <c r="AA16" s="12" t="e">
        <v>#VALUE!</v>
      </c>
      <c r="AB16" s="12" t="e">
        <v>#VALUE!</v>
      </c>
      <c r="AC16" s="12" t="e">
        <v>#VALUE!</v>
      </c>
      <c r="AD16" s="12" t="e">
        <v>#VALUE!</v>
      </c>
      <c r="AE16" s="12" t="e">
        <v>#VALUE!</v>
      </c>
      <c r="AF16" s="12" t="e">
        <v>#VALUE!</v>
      </c>
      <c r="AG16" s="12" t="e">
        <v>#VALUE!</v>
      </c>
      <c r="AH16" s="12" t="e">
        <v>#VALUE!</v>
      </c>
      <c r="AI16" s="12" t="e">
        <v>#VALUE!</v>
      </c>
      <c r="AJ16" s="12" t="e">
        <v>#VALUE!</v>
      </c>
      <c r="AK16" s="12" t="e">
        <v>#VALUE!</v>
      </c>
      <c r="AL16" s="12" t="e">
        <v>#VALUE!</v>
      </c>
      <c r="AM16" s="12" t="e">
        <v>#VALUE!</v>
      </c>
      <c r="AN16" s="12" t="e">
        <v>#VALUE!</v>
      </c>
      <c r="AO16" s="12" t="e">
        <v>#VALUE!</v>
      </c>
      <c r="AP16" s="12" t="e">
        <v>#VALUE!</v>
      </c>
      <c r="AQ16" s="12" t="e">
        <v>#VALUE!</v>
      </c>
      <c r="AR16" s="12" t="e">
        <v>#VALUE!</v>
      </c>
      <c r="AS16" s="12" t="e">
        <v>#VALUE!</v>
      </c>
      <c r="AT16" s="12" t="s">
        <v>420</v>
      </c>
    </row>
    <row r="17" spans="1:46" s="12" customFormat="1" ht="378">
      <c r="A17" s="245" t="s">
        <v>116</v>
      </c>
      <c r="B17" s="245" t="s">
        <v>125</v>
      </c>
      <c r="C17" s="246" t="s">
        <v>126</v>
      </c>
      <c r="D17" s="246" t="s">
        <v>28</v>
      </c>
      <c r="E17" s="245" t="s">
        <v>127</v>
      </c>
      <c r="F17" s="245" t="s">
        <v>30</v>
      </c>
      <c r="G17" s="245" t="s">
        <v>31</v>
      </c>
      <c r="H17" s="245" t="s">
        <v>128</v>
      </c>
      <c r="I17" s="245" t="s">
        <v>121</v>
      </c>
      <c r="J17" s="245">
        <v>0</v>
      </c>
      <c r="K17" s="254">
        <v>18</v>
      </c>
      <c r="L17" s="251">
        <v>6</v>
      </c>
      <c r="M17" s="254"/>
      <c r="N17" s="255" t="s">
        <v>451</v>
      </c>
      <c r="O17" s="255" t="s">
        <v>452</v>
      </c>
      <c r="P17" s="245" t="s">
        <v>453</v>
      </c>
      <c r="Q17" s="245"/>
      <c r="R17" s="245"/>
      <c r="S17" s="40" t="e">
        <f>A17&amp;B17&amp;C17&amp;D17&amp;E17&amp;F17&amp;G17&amp;H17&amp;I17&amp;J17&amp;K17&amp;L17&amp;M17&amp;#REF!&amp;#REF!&amp;#REF!&amp;N17&amp;O17&amp;P17&amp;Q17&amp;R17&amp;#REF!&amp;#REF!</f>
        <v>#REF!</v>
      </c>
      <c r="W17" s="12" t="e">
        <v>#VALUE!</v>
      </c>
      <c r="X17" s="12" t="e">
        <v>#VALUE!</v>
      </c>
      <c r="Y17" s="12" t="e">
        <v>#VALUE!</v>
      </c>
      <c r="Z17" s="12" t="e">
        <v>#VALUE!</v>
      </c>
      <c r="AA17" s="12" t="e">
        <v>#VALUE!</v>
      </c>
      <c r="AB17" s="12" t="e">
        <v>#VALUE!</v>
      </c>
      <c r="AC17" s="12" t="e">
        <v>#VALUE!</v>
      </c>
      <c r="AD17" s="12" t="e">
        <v>#VALUE!</v>
      </c>
      <c r="AE17" s="12" t="e">
        <v>#VALUE!</v>
      </c>
      <c r="AF17" s="12" t="e">
        <v>#VALUE!</v>
      </c>
      <c r="AG17" s="12" t="e">
        <v>#VALUE!</v>
      </c>
      <c r="AH17" s="12" t="e">
        <v>#VALUE!</v>
      </c>
      <c r="AI17" s="12" t="e">
        <v>#VALUE!</v>
      </c>
      <c r="AJ17" s="12" t="e">
        <v>#VALUE!</v>
      </c>
      <c r="AK17" s="12" t="e">
        <v>#VALUE!</v>
      </c>
      <c r="AL17" s="12" t="e">
        <v>#VALUE!</v>
      </c>
      <c r="AM17" s="12" t="e">
        <v>#VALUE!</v>
      </c>
      <c r="AN17" s="12" t="e">
        <v>#VALUE!</v>
      </c>
      <c r="AO17" s="12" t="e">
        <v>#VALUE!</v>
      </c>
      <c r="AP17" s="12" t="e">
        <v>#VALUE!</v>
      </c>
      <c r="AQ17" s="12" t="e">
        <v>#VALUE!</v>
      </c>
      <c r="AR17" s="12" t="e">
        <v>#VALUE!</v>
      </c>
      <c r="AS17" s="12" t="e">
        <v>#VALUE!</v>
      </c>
      <c r="AT17" s="12" t="s">
        <v>421</v>
      </c>
    </row>
    <row r="18" spans="1:46" s="12" customFormat="1">
      <c r="A18" s="267" t="s">
        <v>132</v>
      </c>
      <c r="B18" s="267" t="s">
        <v>133</v>
      </c>
      <c r="C18" s="268" t="s">
        <v>134</v>
      </c>
      <c r="D18" s="268" t="s">
        <v>28</v>
      </c>
      <c r="E18" s="267" t="s">
        <v>37</v>
      </c>
      <c r="F18" s="267" t="s">
        <v>30</v>
      </c>
      <c r="G18" s="267" t="s">
        <v>31</v>
      </c>
      <c r="H18" s="267" t="s">
        <v>135</v>
      </c>
      <c r="I18" s="267" t="s">
        <v>94</v>
      </c>
      <c r="J18" s="267">
        <v>0</v>
      </c>
      <c r="K18" s="269">
        <v>0.85</v>
      </c>
      <c r="L18" s="300">
        <v>0.8</v>
      </c>
      <c r="M18" s="269"/>
      <c r="N18" s="276"/>
      <c r="O18" s="276"/>
      <c r="P18" s="276"/>
      <c r="Q18" s="276"/>
      <c r="R18" s="276"/>
      <c r="S18" s="40" t="e">
        <f>A18&amp;B18&amp;C18&amp;D18&amp;E18&amp;F18&amp;G18&amp;H18&amp;I18&amp;J18&amp;K18&amp;L18&amp;M18&amp;#REF!&amp;#REF!&amp;#REF!&amp;N18&amp;O18&amp;P18&amp;Q18&amp;R18&amp;#REF!&amp;#REF!</f>
        <v>#REF!</v>
      </c>
      <c r="W18" s="12" t="e">
        <v>#VALUE!</v>
      </c>
      <c r="X18" s="12" t="e">
        <v>#VALUE!</v>
      </c>
      <c r="Y18" s="12" t="e">
        <v>#VALUE!</v>
      </c>
      <c r="Z18" s="12" t="e">
        <v>#VALUE!</v>
      </c>
      <c r="AA18" s="12" t="e">
        <v>#VALUE!</v>
      </c>
      <c r="AB18" s="12" t="e">
        <v>#VALUE!</v>
      </c>
      <c r="AC18" s="12" t="e">
        <v>#VALUE!</v>
      </c>
      <c r="AD18" s="12" t="e">
        <v>#VALUE!</v>
      </c>
      <c r="AE18" s="12" t="e">
        <v>#VALUE!</v>
      </c>
      <c r="AF18" s="12" t="e">
        <v>#VALUE!</v>
      </c>
      <c r="AG18" s="12" t="e">
        <v>#VALUE!</v>
      </c>
      <c r="AH18" s="12" t="e">
        <v>#VALUE!</v>
      </c>
      <c r="AI18" s="12" t="e">
        <v>#VALUE!</v>
      </c>
      <c r="AJ18" s="12" t="e">
        <v>#VALUE!</v>
      </c>
      <c r="AK18" s="12" t="e">
        <v>#VALUE!</v>
      </c>
      <c r="AL18" s="12" t="e">
        <v>#VALUE!</v>
      </c>
      <c r="AM18" s="12" t="e">
        <v>#VALUE!</v>
      </c>
      <c r="AN18" s="12" t="e">
        <v>#VALUE!</v>
      </c>
      <c r="AO18" s="12" t="e">
        <v>#VALUE!</v>
      </c>
      <c r="AP18" s="12" t="e">
        <v>#VALUE!</v>
      </c>
      <c r="AQ18" s="12" t="e">
        <v>#VALUE!</v>
      </c>
      <c r="AR18" s="12" t="e">
        <v>#VALUE!</v>
      </c>
      <c r="AS18" s="12" t="e">
        <v>#VALUE!</v>
      </c>
      <c r="AT18" s="12" t="s">
        <v>422</v>
      </c>
    </row>
    <row r="19" spans="1:46" s="12" customFormat="1">
      <c r="A19" s="245" t="s">
        <v>132</v>
      </c>
      <c r="B19" s="245" t="s">
        <v>136</v>
      </c>
      <c r="C19" s="246" t="s">
        <v>137</v>
      </c>
      <c r="D19" s="246" t="s">
        <v>28</v>
      </c>
      <c r="E19" s="245" t="s">
        <v>138</v>
      </c>
      <c r="F19" s="245" t="s">
        <v>30</v>
      </c>
      <c r="G19" s="245" t="s">
        <v>31</v>
      </c>
      <c r="H19" s="245" t="s">
        <v>139</v>
      </c>
      <c r="I19" s="245" t="s">
        <v>140</v>
      </c>
      <c r="J19" s="245">
        <v>0</v>
      </c>
      <c r="K19" s="247">
        <v>1</v>
      </c>
      <c r="L19" s="248">
        <v>0</v>
      </c>
      <c r="M19" s="247"/>
      <c r="N19" s="249"/>
      <c r="O19" s="249"/>
      <c r="P19" s="249"/>
      <c r="Q19" s="249"/>
      <c r="R19" s="249"/>
      <c r="S19" s="40" t="e">
        <f>A19&amp;B19&amp;C19&amp;D19&amp;E19&amp;F19&amp;G19&amp;H19&amp;I19&amp;J19&amp;K19&amp;L19&amp;M19&amp;#REF!&amp;#REF!&amp;#REF!&amp;N19&amp;O19&amp;P19&amp;Q19&amp;R19&amp;#REF!&amp;#REF!</f>
        <v>#REF!</v>
      </c>
    </row>
    <row r="20" spans="1:46" s="12" customFormat="1">
      <c r="A20" s="267" t="s">
        <v>141</v>
      </c>
      <c r="B20" s="267" t="s">
        <v>142</v>
      </c>
      <c r="C20" s="268" t="s">
        <v>143</v>
      </c>
      <c r="D20" s="268" t="s">
        <v>28</v>
      </c>
      <c r="E20" s="267" t="s">
        <v>37</v>
      </c>
      <c r="F20" s="267" t="s">
        <v>30</v>
      </c>
      <c r="G20" s="267" t="s">
        <v>31</v>
      </c>
      <c r="H20" s="267" t="s">
        <v>144</v>
      </c>
      <c r="I20" s="267" t="s">
        <v>94</v>
      </c>
      <c r="J20" s="267">
        <v>0</v>
      </c>
      <c r="K20" s="269">
        <v>1</v>
      </c>
      <c r="L20" s="301">
        <v>0.96</v>
      </c>
      <c r="M20" s="269"/>
      <c r="N20" s="276"/>
      <c r="O20" s="276"/>
      <c r="P20" s="276"/>
      <c r="Q20" s="276"/>
      <c r="R20" s="276"/>
      <c r="S20" s="40" t="e">
        <f>A20&amp;B20&amp;C20&amp;D20&amp;E20&amp;F20&amp;G20&amp;H20&amp;I20&amp;J20&amp;K20&amp;L20&amp;M20&amp;#REF!&amp;#REF!&amp;#REF!&amp;N20&amp;O20&amp;P20&amp;Q20&amp;R20&amp;#REF!&amp;#REF!</f>
        <v>#REF!</v>
      </c>
    </row>
    <row r="21" spans="1:46" s="12" customFormat="1">
      <c r="A21" s="245" t="s">
        <v>141</v>
      </c>
      <c r="B21" s="245" t="s">
        <v>145</v>
      </c>
      <c r="C21" s="10" t="s">
        <v>146</v>
      </c>
      <c r="D21" s="246" t="s">
        <v>28</v>
      </c>
      <c r="E21" s="245" t="s">
        <v>37</v>
      </c>
      <c r="F21" s="245" t="s">
        <v>30</v>
      </c>
      <c r="G21" s="245" t="s">
        <v>31</v>
      </c>
      <c r="H21" s="245" t="s">
        <v>144</v>
      </c>
      <c r="I21" s="245" t="s">
        <v>94</v>
      </c>
      <c r="J21" s="245">
        <v>0</v>
      </c>
      <c r="K21" s="247">
        <v>0.8</v>
      </c>
      <c r="L21" s="251">
        <v>0.5</v>
      </c>
      <c r="M21" s="247"/>
      <c r="N21" s="249"/>
      <c r="O21" s="249"/>
      <c r="P21" s="249"/>
      <c r="Q21" s="249"/>
      <c r="R21" s="249"/>
      <c r="S21" s="40" t="e">
        <f>A21&amp;B21&amp;C21&amp;D21&amp;E21&amp;F21&amp;G21&amp;H21&amp;I21&amp;J21&amp;K21&amp;L21&amp;M21&amp;#REF!&amp;#REF!&amp;#REF!&amp;N21&amp;O21&amp;P21&amp;Q21&amp;R21&amp;#REF!&amp;#REF!</f>
        <v>#REF!</v>
      </c>
    </row>
    <row r="22" spans="1:46" s="12" customFormat="1" ht="144">
      <c r="A22" s="267" t="s">
        <v>147</v>
      </c>
      <c r="B22" s="267" t="s">
        <v>148</v>
      </c>
      <c r="C22" s="268" t="s">
        <v>149</v>
      </c>
      <c r="D22" s="268" t="s">
        <v>28</v>
      </c>
      <c r="E22" s="267" t="s">
        <v>150</v>
      </c>
      <c r="F22" s="267" t="s">
        <v>30</v>
      </c>
      <c r="G22" s="267" t="s">
        <v>31</v>
      </c>
      <c r="H22" s="267" t="s">
        <v>151</v>
      </c>
      <c r="I22" s="267" t="s">
        <v>107</v>
      </c>
      <c r="J22" s="267">
        <v>0</v>
      </c>
      <c r="K22" s="269">
        <v>80</v>
      </c>
      <c r="L22" s="299">
        <v>20</v>
      </c>
      <c r="M22" s="269">
        <v>19</v>
      </c>
      <c r="N22" s="268" t="s">
        <v>454</v>
      </c>
      <c r="O22" s="268" t="s">
        <v>455</v>
      </c>
      <c r="P22" s="268" t="s">
        <v>456</v>
      </c>
      <c r="Q22" s="268"/>
      <c r="R22" s="268"/>
      <c r="S22" s="40" t="e">
        <f>A22&amp;B22&amp;C22&amp;D22&amp;E22&amp;F22&amp;G22&amp;H22&amp;I22&amp;J22&amp;K22&amp;L22&amp;M22&amp;#REF!&amp;#REF!&amp;#REF!&amp;N22&amp;O22&amp;P22&amp;Q22&amp;R22&amp;#REF!&amp;#REF!</f>
        <v>#REF!</v>
      </c>
    </row>
    <row r="23" spans="1:46" s="12" customFormat="1" ht="38.25" customHeight="1">
      <c r="A23" s="245" t="s">
        <v>147</v>
      </c>
      <c r="B23" s="245" t="s">
        <v>155</v>
      </c>
      <c r="C23" s="246" t="s">
        <v>156</v>
      </c>
      <c r="D23" s="246" t="s">
        <v>28</v>
      </c>
      <c r="E23" s="245" t="s">
        <v>157</v>
      </c>
      <c r="F23" s="245" t="s">
        <v>30</v>
      </c>
      <c r="G23" s="245" t="s">
        <v>31</v>
      </c>
      <c r="H23" s="255" t="s">
        <v>158</v>
      </c>
      <c r="I23" s="245" t="s">
        <v>107</v>
      </c>
      <c r="J23" s="245">
        <v>0</v>
      </c>
      <c r="K23" s="247" t="s">
        <v>159</v>
      </c>
      <c r="L23" s="316">
        <v>17</v>
      </c>
      <c r="M23" s="247"/>
      <c r="N23" s="246"/>
      <c r="O23" s="246"/>
      <c r="P23" s="246"/>
      <c r="Q23" s="246"/>
      <c r="R23" s="246"/>
      <c r="S23" s="40" t="e">
        <f>A23&amp;B23&amp;C23&amp;D23&amp;E23&amp;F23&amp;G23&amp;H23&amp;I23&amp;J23&amp;K23&amp;L23&amp;M23&amp;#REF!&amp;#REF!&amp;#REF!&amp;N23&amp;O23&amp;P23&amp;Q23&amp;R23&amp;#REF!&amp;#REF!</f>
        <v>#REF!</v>
      </c>
    </row>
    <row r="24" spans="1:46" s="12" customFormat="1">
      <c r="A24" s="267" t="s">
        <v>147</v>
      </c>
      <c r="B24" s="267" t="s">
        <v>161</v>
      </c>
      <c r="C24" s="268" t="s">
        <v>162</v>
      </c>
      <c r="D24" s="268" t="s">
        <v>28</v>
      </c>
      <c r="E24" s="267" t="s">
        <v>37</v>
      </c>
      <c r="F24" s="267" t="s">
        <v>30</v>
      </c>
      <c r="G24" s="267" t="s">
        <v>31</v>
      </c>
      <c r="H24" s="267" t="s">
        <v>163</v>
      </c>
      <c r="I24" s="267" t="s">
        <v>107</v>
      </c>
      <c r="J24" s="267">
        <v>0</v>
      </c>
      <c r="K24" s="312">
        <v>0.94</v>
      </c>
      <c r="L24" s="259">
        <v>0</v>
      </c>
      <c r="M24" s="313"/>
      <c r="N24" s="277"/>
      <c r="O24" s="277"/>
      <c r="P24" s="277"/>
      <c r="Q24" s="277"/>
      <c r="R24" s="277"/>
      <c r="S24" s="40" t="e">
        <f>A24&amp;B24&amp;C24&amp;D24&amp;E24&amp;F24&amp;G24&amp;H24&amp;I24&amp;J24&amp;K24&amp;L24&amp;M24&amp;#REF!&amp;#REF!&amp;#REF!&amp;N24&amp;O24&amp;P24&amp;Q24&amp;R24&amp;#REF!&amp;#REF!</f>
        <v>#REF!</v>
      </c>
    </row>
    <row r="25" spans="1:46" s="12" customFormat="1">
      <c r="A25" s="245" t="s">
        <v>165</v>
      </c>
      <c r="B25" s="245" t="s">
        <v>166</v>
      </c>
      <c r="C25" s="246" t="s">
        <v>167</v>
      </c>
      <c r="D25" s="246" t="s">
        <v>28</v>
      </c>
      <c r="E25" s="245" t="s">
        <v>168</v>
      </c>
      <c r="F25" s="245" t="s">
        <v>30</v>
      </c>
      <c r="G25" s="245" t="s">
        <v>31</v>
      </c>
      <c r="H25" s="245" t="s">
        <v>169</v>
      </c>
      <c r="I25" s="245" t="s">
        <v>107</v>
      </c>
      <c r="J25" s="245">
        <v>0</v>
      </c>
      <c r="K25" s="248">
        <v>200</v>
      </c>
      <c r="L25" s="309">
        <v>50</v>
      </c>
      <c r="M25" s="314"/>
      <c r="N25" s="246"/>
      <c r="O25" s="246"/>
      <c r="P25" s="246"/>
      <c r="Q25" s="246"/>
      <c r="R25" s="246"/>
      <c r="S25" s="40" t="e">
        <f>A25&amp;B25&amp;C25&amp;D25&amp;E25&amp;F25&amp;G25&amp;H25&amp;I25&amp;J25&amp;K25&amp;L25&amp;M25&amp;#REF!&amp;#REF!&amp;#REF!&amp;N25&amp;O25&amp;P25&amp;Q25&amp;R25&amp;#REF!&amp;#REF!</f>
        <v>#REF!</v>
      </c>
    </row>
    <row r="26" spans="1:46" s="12" customFormat="1">
      <c r="A26" s="267" t="s">
        <v>165</v>
      </c>
      <c r="B26" s="267" t="s">
        <v>173</v>
      </c>
      <c r="C26" s="268" t="s">
        <v>174</v>
      </c>
      <c r="D26" s="268" t="s">
        <v>28</v>
      </c>
      <c r="E26" s="267" t="s">
        <v>175</v>
      </c>
      <c r="F26" s="267" t="s">
        <v>30</v>
      </c>
      <c r="G26" s="267" t="s">
        <v>31</v>
      </c>
      <c r="H26" s="267" t="s">
        <v>176</v>
      </c>
      <c r="I26" s="267" t="s">
        <v>107</v>
      </c>
      <c r="J26" s="267">
        <v>0</v>
      </c>
      <c r="K26" s="270">
        <v>5000000</v>
      </c>
      <c r="L26" s="309">
        <v>1500000</v>
      </c>
      <c r="M26" s="315"/>
      <c r="N26" s="268"/>
      <c r="O26" s="268"/>
      <c r="P26" s="268"/>
      <c r="Q26" s="268"/>
      <c r="R26" s="268"/>
      <c r="S26" s="40" t="e">
        <f>A26&amp;B26&amp;C26&amp;D26&amp;E26&amp;F26&amp;G26&amp;H26&amp;I26&amp;J26&amp;K26&amp;L26&amp;M26&amp;#REF!&amp;#REF!&amp;#REF!&amp;N26&amp;O26&amp;P26&amp;Q26&amp;R26&amp;#REF!&amp;#REF!</f>
        <v>#REF!</v>
      </c>
    </row>
    <row r="27" spans="1:46" s="12" customFormat="1">
      <c r="A27" s="245" t="s">
        <v>165</v>
      </c>
      <c r="B27" s="245" t="s">
        <v>181</v>
      </c>
      <c r="C27" s="246" t="s">
        <v>182</v>
      </c>
      <c r="D27" s="246" t="s">
        <v>28</v>
      </c>
      <c r="E27" s="245" t="s">
        <v>183</v>
      </c>
      <c r="F27" s="245" t="s">
        <v>30</v>
      </c>
      <c r="G27" s="245" t="s">
        <v>31</v>
      </c>
      <c r="H27" s="245" t="s">
        <v>184</v>
      </c>
      <c r="I27" s="245" t="s">
        <v>107</v>
      </c>
      <c r="J27" s="245">
        <v>0</v>
      </c>
      <c r="K27" s="248">
        <v>20</v>
      </c>
      <c r="L27" s="309">
        <v>20</v>
      </c>
      <c r="M27" s="314"/>
      <c r="N27" s="246"/>
      <c r="O27" s="246"/>
      <c r="P27" s="246"/>
      <c r="Q27" s="246"/>
      <c r="R27" s="246"/>
      <c r="S27" s="40" t="e">
        <f>A27&amp;B27&amp;C27&amp;D27&amp;E27&amp;F27&amp;G27&amp;H27&amp;I27&amp;J27&amp;K27&amp;L27&amp;M27&amp;#REF!&amp;#REF!&amp;#REF!&amp;N27&amp;O27&amp;P27&amp;Q27&amp;R27&amp;#REF!&amp;#REF!</f>
        <v>#REF!</v>
      </c>
    </row>
    <row r="28" spans="1:46" s="12" customFormat="1">
      <c r="A28" s="267" t="s">
        <v>188</v>
      </c>
      <c r="B28" s="267" t="s">
        <v>189</v>
      </c>
      <c r="C28" s="268" t="s">
        <v>190</v>
      </c>
      <c r="D28" s="268" t="s">
        <v>28</v>
      </c>
      <c r="E28" s="267" t="s">
        <v>191</v>
      </c>
      <c r="F28" s="267" t="s">
        <v>30</v>
      </c>
      <c r="G28" s="267" t="s">
        <v>31</v>
      </c>
      <c r="H28" s="267" t="s">
        <v>192</v>
      </c>
      <c r="I28" s="267" t="s">
        <v>193</v>
      </c>
      <c r="J28" s="267">
        <v>0</v>
      </c>
      <c r="K28" s="270">
        <v>50</v>
      </c>
      <c r="L28" s="309">
        <v>15</v>
      </c>
      <c r="M28" s="315"/>
      <c r="N28" s="268"/>
      <c r="O28" s="268"/>
      <c r="P28" s="268"/>
      <c r="Q28" s="268"/>
      <c r="R28" s="268"/>
      <c r="S28" s="40" t="e">
        <f>A28&amp;B28&amp;C28&amp;D28&amp;E28&amp;F28&amp;G28&amp;H28&amp;I28&amp;J28&amp;K28&amp;L28&amp;M28&amp;#REF!&amp;#REF!&amp;#REF!&amp;N28&amp;O28&amp;P28&amp;Q28&amp;R28&amp;#REF!&amp;#REF!</f>
        <v>#REF!</v>
      </c>
    </row>
    <row r="29" spans="1:46" s="12" customFormat="1">
      <c r="A29" s="245" t="s">
        <v>188</v>
      </c>
      <c r="B29" s="245" t="s">
        <v>194</v>
      </c>
      <c r="C29" s="246" t="s">
        <v>195</v>
      </c>
      <c r="D29" s="246" t="s">
        <v>28</v>
      </c>
      <c r="E29" s="245" t="s">
        <v>37</v>
      </c>
      <c r="F29" s="245" t="s">
        <v>30</v>
      </c>
      <c r="G29" s="245" t="s">
        <v>31</v>
      </c>
      <c r="H29" s="245" t="s">
        <v>196</v>
      </c>
      <c r="I29" s="245" t="s">
        <v>193</v>
      </c>
      <c r="J29" s="245">
        <v>0</v>
      </c>
      <c r="K29" s="248">
        <v>0.65</v>
      </c>
      <c r="L29" s="310">
        <v>0.5</v>
      </c>
      <c r="M29" s="314"/>
      <c r="N29" s="249"/>
      <c r="O29" s="249"/>
      <c r="P29" s="249"/>
      <c r="Q29" s="249"/>
      <c r="R29" s="249"/>
      <c r="S29" s="40" t="e">
        <f>A29&amp;B29&amp;C29&amp;D29&amp;E29&amp;F29&amp;G29&amp;H29&amp;I29&amp;J29&amp;K29&amp;L29&amp;M29&amp;#REF!&amp;#REF!&amp;#REF!&amp;N29&amp;O29&amp;P29&amp;Q29&amp;R29&amp;#REF!&amp;#REF!</f>
        <v>#REF!</v>
      </c>
    </row>
    <row r="30" spans="1:46" s="12" customFormat="1" ht="38.25" customHeight="1">
      <c r="A30" s="267" t="s">
        <v>197</v>
      </c>
      <c r="B30" s="267" t="s">
        <v>198</v>
      </c>
      <c r="C30" s="268" t="s">
        <v>199</v>
      </c>
      <c r="D30" s="268" t="s">
        <v>28</v>
      </c>
      <c r="E30" s="267" t="s">
        <v>200</v>
      </c>
      <c r="F30" s="267" t="s">
        <v>30</v>
      </c>
      <c r="G30" s="267" t="s">
        <v>31</v>
      </c>
      <c r="H30" s="278" t="s">
        <v>201</v>
      </c>
      <c r="I30" s="267" t="s">
        <v>62</v>
      </c>
      <c r="J30" s="267">
        <v>0</v>
      </c>
      <c r="K30" s="270">
        <v>2500</v>
      </c>
      <c r="L30" s="309">
        <v>625</v>
      </c>
      <c r="M30" s="315"/>
      <c r="N30" s="268"/>
      <c r="O30" s="268"/>
      <c r="P30" s="268"/>
      <c r="Q30" s="268"/>
      <c r="R30" s="268"/>
      <c r="S30" s="40" t="e">
        <f>A30&amp;B30&amp;C30&amp;D30&amp;E30&amp;F30&amp;G30&amp;H30&amp;I30&amp;J30&amp;K30&amp;L30&amp;M30&amp;#REF!&amp;#REF!&amp;#REF!&amp;N30&amp;O30&amp;P30&amp;Q30&amp;R30&amp;#REF!&amp;#REF!</f>
        <v>#REF!</v>
      </c>
    </row>
    <row r="31" spans="1:46" s="12" customFormat="1">
      <c r="A31" s="245" t="s">
        <v>197</v>
      </c>
      <c r="B31" s="245" t="s">
        <v>205</v>
      </c>
      <c r="C31" s="246" t="s">
        <v>206</v>
      </c>
      <c r="D31" s="246" t="s">
        <v>28</v>
      </c>
      <c r="E31" s="245" t="s">
        <v>191</v>
      </c>
      <c r="F31" s="245" t="s">
        <v>30</v>
      </c>
      <c r="G31" s="245" t="s">
        <v>31</v>
      </c>
      <c r="H31" s="245" t="s">
        <v>207</v>
      </c>
      <c r="I31" s="245" t="s">
        <v>62</v>
      </c>
      <c r="J31" s="245">
        <v>0</v>
      </c>
      <c r="K31" s="248">
        <v>70000</v>
      </c>
      <c r="L31" s="309">
        <v>13000</v>
      </c>
      <c r="M31" s="314"/>
      <c r="N31" s="246"/>
      <c r="O31" s="246"/>
      <c r="P31" s="246"/>
      <c r="Q31" s="246"/>
      <c r="R31" s="246"/>
      <c r="S31" s="40" t="e">
        <f>A31&amp;B31&amp;C31&amp;D31&amp;E31&amp;F31&amp;G31&amp;H31&amp;I31&amp;J31&amp;K31&amp;L31&amp;M31&amp;#REF!&amp;#REF!&amp;#REF!&amp;N31&amp;O31&amp;P31&amp;Q31&amp;R31&amp;#REF!&amp;#REF!</f>
        <v>#REF!</v>
      </c>
    </row>
    <row r="32" spans="1:46" s="12" customFormat="1">
      <c r="A32" s="267" t="s">
        <v>210</v>
      </c>
      <c r="B32" s="267" t="s">
        <v>211</v>
      </c>
      <c r="C32" s="268" t="s">
        <v>212</v>
      </c>
      <c r="D32" s="268" t="s">
        <v>28</v>
      </c>
      <c r="E32" s="267" t="s">
        <v>37</v>
      </c>
      <c r="F32" s="267" t="s">
        <v>30</v>
      </c>
      <c r="G32" s="267" t="s">
        <v>31</v>
      </c>
      <c r="H32" s="267" t="s">
        <v>213</v>
      </c>
      <c r="I32" s="267" t="s">
        <v>193</v>
      </c>
      <c r="J32" s="267">
        <v>0</v>
      </c>
      <c r="K32" s="270">
        <v>0.88</v>
      </c>
      <c r="L32" s="310">
        <v>0.88</v>
      </c>
      <c r="M32" s="315"/>
      <c r="N32" s="276"/>
      <c r="O32" s="276"/>
      <c r="P32" s="276"/>
      <c r="Q32" s="276"/>
      <c r="R32" s="276"/>
      <c r="S32" s="40" t="e">
        <f>A32&amp;B32&amp;C32&amp;D32&amp;E32&amp;F32&amp;G32&amp;H32&amp;I32&amp;J32&amp;K32&amp;L32&amp;M32&amp;#REF!&amp;#REF!&amp;#REF!&amp;N32&amp;O32&amp;P32&amp;Q32&amp;R32&amp;#REF!&amp;#REF!</f>
        <v>#REF!</v>
      </c>
    </row>
    <row r="33" spans="1:19" s="12" customFormat="1">
      <c r="A33" s="245" t="s">
        <v>210</v>
      </c>
      <c r="B33" s="245" t="s">
        <v>214</v>
      </c>
      <c r="C33" s="246" t="s">
        <v>215</v>
      </c>
      <c r="D33" s="246" t="s">
        <v>28</v>
      </c>
      <c r="E33" s="245" t="s">
        <v>29</v>
      </c>
      <c r="F33" s="245" t="s">
        <v>30</v>
      </c>
      <c r="G33" s="245" t="s">
        <v>31</v>
      </c>
      <c r="H33" s="245" t="s">
        <v>216</v>
      </c>
      <c r="I33" s="245" t="s">
        <v>193</v>
      </c>
      <c r="J33" s="245">
        <v>0</v>
      </c>
      <c r="K33" s="248">
        <v>70000</v>
      </c>
      <c r="L33" s="311">
        <v>20000</v>
      </c>
      <c r="M33" s="314"/>
      <c r="N33" s="253"/>
      <c r="O33" s="253"/>
      <c r="P33" s="253"/>
      <c r="Q33" s="253"/>
      <c r="R33" s="253"/>
      <c r="S33" s="40" t="e">
        <f>A33&amp;B33&amp;C33&amp;D33&amp;E33&amp;F33&amp;G33&amp;H33&amp;I33&amp;J33&amp;K33&amp;L33&amp;M33&amp;#REF!&amp;#REF!&amp;#REF!&amp;N33&amp;O33&amp;P33&amp;Q33&amp;R33&amp;#REF!&amp;#REF!</f>
        <v>#REF!</v>
      </c>
    </row>
    <row r="34" spans="1:19" s="12" customFormat="1">
      <c r="A34" s="267" t="s">
        <v>220</v>
      </c>
      <c r="B34" s="267" t="s">
        <v>221</v>
      </c>
      <c r="C34" s="268" t="s">
        <v>222</v>
      </c>
      <c r="D34" s="268" t="s">
        <v>28</v>
      </c>
      <c r="E34" s="267" t="s">
        <v>223</v>
      </c>
      <c r="F34" s="267" t="s">
        <v>30</v>
      </c>
      <c r="G34" s="267" t="s">
        <v>31</v>
      </c>
      <c r="H34" s="267" t="s">
        <v>224</v>
      </c>
      <c r="I34" s="267" t="s">
        <v>225</v>
      </c>
      <c r="J34" s="267">
        <v>0</v>
      </c>
      <c r="K34" s="270">
        <v>1</v>
      </c>
      <c r="L34" s="302">
        <v>1</v>
      </c>
      <c r="M34" s="315"/>
      <c r="N34" s="276"/>
      <c r="O34" s="276"/>
      <c r="P34" s="276"/>
      <c r="Q34" s="276"/>
      <c r="R34" s="276"/>
      <c r="S34" s="40" t="e">
        <f>A34&amp;B34&amp;C34&amp;D34&amp;E34&amp;F34&amp;G34&amp;H34&amp;I34&amp;J34&amp;K34&amp;L34&amp;M34&amp;#REF!&amp;#REF!&amp;#REF!&amp;N34&amp;O34&amp;P34&amp;Q34&amp;R34&amp;#REF!&amp;#REF!</f>
        <v>#REF!</v>
      </c>
    </row>
    <row r="35" spans="1:19" s="12" customFormat="1">
      <c r="A35" s="245" t="s">
        <v>220</v>
      </c>
      <c r="B35" s="245" t="s">
        <v>226</v>
      </c>
      <c r="C35" s="10" t="s">
        <v>227</v>
      </c>
      <c r="D35" s="246" t="s">
        <v>28</v>
      </c>
      <c r="E35" s="245" t="s">
        <v>228</v>
      </c>
      <c r="F35" s="245" t="s">
        <v>30</v>
      </c>
      <c r="G35" s="245" t="s">
        <v>229</v>
      </c>
      <c r="H35" s="245" t="s">
        <v>230</v>
      </c>
      <c r="I35" s="245" t="s">
        <v>193</v>
      </c>
      <c r="J35" s="245">
        <v>0</v>
      </c>
      <c r="K35" s="248">
        <v>1</v>
      </c>
      <c r="L35" s="307">
        <v>1</v>
      </c>
      <c r="M35" s="314"/>
      <c r="N35" s="249"/>
      <c r="O35" s="249"/>
      <c r="P35" s="249"/>
      <c r="Q35" s="249"/>
      <c r="R35" s="249"/>
      <c r="S35" s="40" t="e">
        <f>A35&amp;B35&amp;C35&amp;D35&amp;E35&amp;F35&amp;G35&amp;H35&amp;I35&amp;J35&amp;K35&amp;L35&amp;M35&amp;#REF!&amp;#REF!&amp;#REF!&amp;N35&amp;O35&amp;P35&amp;Q35&amp;R35&amp;#REF!&amp;#REF!</f>
        <v>#REF!</v>
      </c>
    </row>
    <row r="36" spans="1:19" s="12" customFormat="1">
      <c r="A36" s="267" t="s">
        <v>231</v>
      </c>
      <c r="B36" s="267" t="s">
        <v>232</v>
      </c>
      <c r="C36" s="268" t="s">
        <v>233</v>
      </c>
      <c r="D36" s="268" t="s">
        <v>28</v>
      </c>
      <c r="E36" s="267" t="s">
        <v>60</v>
      </c>
      <c r="F36" s="267" t="s">
        <v>30</v>
      </c>
      <c r="G36" s="279" t="s">
        <v>31</v>
      </c>
      <c r="H36" s="267" t="s">
        <v>234</v>
      </c>
      <c r="I36" s="280" t="s">
        <v>140</v>
      </c>
      <c r="J36" s="267">
        <v>0</v>
      </c>
      <c r="K36" s="312">
        <v>4</v>
      </c>
      <c r="L36" s="259">
        <v>0</v>
      </c>
      <c r="M36" s="313"/>
      <c r="N36" s="267"/>
      <c r="O36" s="267"/>
      <c r="P36" s="267"/>
      <c r="Q36" s="267"/>
      <c r="R36" s="267"/>
      <c r="S36" s="40" t="e">
        <f>A36&amp;B36&amp;C36&amp;D36&amp;E36&amp;F36&amp;G36&amp;H36&amp;I36&amp;J36&amp;K36&amp;L36&amp;M36&amp;#REF!&amp;#REF!&amp;#REF!&amp;N36&amp;O36&amp;P36&amp;Q36&amp;R36&amp;#REF!&amp;#REF!</f>
        <v>#REF!</v>
      </c>
    </row>
    <row r="37" spans="1:19" s="12" customFormat="1">
      <c r="A37" s="256" t="s">
        <v>235</v>
      </c>
      <c r="B37" s="256" t="s">
        <v>236</v>
      </c>
      <c r="C37" s="257" t="s">
        <v>237</v>
      </c>
      <c r="D37" s="245" t="s">
        <v>238</v>
      </c>
      <c r="E37" s="258" t="s">
        <v>37</v>
      </c>
      <c r="F37" s="256" t="s">
        <v>30</v>
      </c>
      <c r="G37" s="257" t="s">
        <v>31</v>
      </c>
      <c r="H37" s="295" t="s">
        <v>423</v>
      </c>
      <c r="I37" s="245" t="s">
        <v>94</v>
      </c>
      <c r="J37" s="256">
        <v>0</v>
      </c>
      <c r="K37" s="251">
        <v>30</v>
      </c>
      <c r="L37" s="317">
        <v>7</v>
      </c>
      <c r="M37" s="305"/>
      <c r="N37" s="261"/>
      <c r="O37" s="261"/>
      <c r="P37" s="261"/>
      <c r="Q37" s="261"/>
      <c r="R37" s="261"/>
      <c r="S37" s="40" t="e">
        <f>A37&amp;B37&amp;C37&amp;D37&amp;E37&amp;F37&amp;G37&amp;H37&amp;I37&amp;J37&amp;K37&amp;L37&amp;M37&amp;#REF!&amp;#REF!&amp;#REF!&amp;N37&amp;O37&amp;P37&amp;Q37&amp;R37&amp;#REF!&amp;#REF!</f>
        <v>#REF!</v>
      </c>
    </row>
    <row r="38" spans="1:19" s="12" customFormat="1">
      <c r="A38" s="281" t="s">
        <v>240</v>
      </c>
      <c r="B38" s="281" t="s">
        <v>241</v>
      </c>
      <c r="C38" s="282" t="s">
        <v>242</v>
      </c>
      <c r="D38" s="267" t="s">
        <v>238</v>
      </c>
      <c r="E38" s="283" t="s">
        <v>37</v>
      </c>
      <c r="F38" s="281" t="s">
        <v>30</v>
      </c>
      <c r="G38" s="282" t="s">
        <v>31</v>
      </c>
      <c r="H38" s="296" t="s">
        <v>423</v>
      </c>
      <c r="I38" s="245" t="s">
        <v>94</v>
      </c>
      <c r="J38" s="281">
        <v>0</v>
      </c>
      <c r="K38" s="273">
        <v>100000</v>
      </c>
      <c r="L38" s="317">
        <v>22000</v>
      </c>
      <c r="M38" s="306"/>
      <c r="N38" s="287"/>
      <c r="O38" s="287"/>
      <c r="P38" s="287"/>
      <c r="Q38" s="287"/>
      <c r="R38" s="287"/>
      <c r="S38" s="40" t="e">
        <f>A38&amp;B38&amp;C38&amp;D38&amp;E38&amp;F38&amp;G38&amp;H38&amp;I38&amp;J38&amp;K38&amp;L38&amp;M38&amp;#REF!&amp;#REF!&amp;#REF!&amp;N38&amp;O38&amp;P38&amp;Q38&amp;R38&amp;#REF!&amp;#REF!</f>
        <v>#REF!</v>
      </c>
    </row>
    <row r="39" spans="1:19" s="12" customFormat="1">
      <c r="A39" s="256" t="s">
        <v>244</v>
      </c>
      <c r="B39" s="256" t="s">
        <v>245</v>
      </c>
      <c r="C39" s="257" t="s">
        <v>246</v>
      </c>
      <c r="D39" s="245" t="s">
        <v>238</v>
      </c>
      <c r="E39" s="258" t="s">
        <v>37</v>
      </c>
      <c r="F39" s="256" t="s">
        <v>30</v>
      </c>
      <c r="G39" s="257" t="s">
        <v>31</v>
      </c>
      <c r="H39" s="295" t="s">
        <v>423</v>
      </c>
      <c r="I39" s="245" t="s">
        <v>94</v>
      </c>
      <c r="J39" s="256">
        <v>0</v>
      </c>
      <c r="K39" s="251">
        <v>0</v>
      </c>
      <c r="L39" s="307">
        <v>0</v>
      </c>
      <c r="M39" s="305"/>
      <c r="N39" s="261"/>
      <c r="O39" s="261"/>
      <c r="P39" s="261"/>
      <c r="Q39" s="261"/>
      <c r="R39" s="261"/>
      <c r="S39" s="40" t="e">
        <f>A39&amp;B39&amp;C39&amp;D39&amp;E39&amp;F39&amp;G39&amp;H39&amp;I39&amp;J39&amp;K39&amp;L39&amp;M39&amp;#REF!&amp;#REF!&amp;#REF!&amp;N39&amp;O39&amp;P39&amp;Q39&amp;R39&amp;#REF!&amp;#REF!</f>
        <v>#REF!</v>
      </c>
    </row>
    <row r="40" spans="1:19" ht="15.75" customHeight="1">
      <c r="A40" s="281" t="s">
        <v>248</v>
      </c>
      <c r="B40" s="281" t="s">
        <v>249</v>
      </c>
      <c r="C40" s="282" t="s">
        <v>250</v>
      </c>
      <c r="D40" s="267" t="s">
        <v>238</v>
      </c>
      <c r="E40" s="283" t="s">
        <v>37</v>
      </c>
      <c r="F40" s="281" t="s">
        <v>30</v>
      </c>
      <c r="G40" s="282" t="s">
        <v>31</v>
      </c>
      <c r="H40" s="296" t="s">
        <v>423</v>
      </c>
      <c r="I40" s="245" t="s">
        <v>94</v>
      </c>
      <c r="J40" s="281">
        <v>0</v>
      </c>
      <c r="K40" s="273">
        <v>12</v>
      </c>
      <c r="L40" s="318">
        <v>3</v>
      </c>
      <c r="M40" s="306"/>
      <c r="N40" s="287"/>
      <c r="O40" s="287"/>
      <c r="P40" s="287"/>
      <c r="Q40" s="287"/>
      <c r="R40" s="287"/>
      <c r="S40" s="40" t="e">
        <f>A40&amp;B40&amp;C40&amp;D40&amp;E40&amp;F40&amp;G40&amp;H40&amp;I40&amp;J40&amp;K40&amp;L40&amp;M40&amp;#REF!&amp;#REF!&amp;#REF!&amp;N40&amp;O40&amp;P40&amp;Q40&amp;R40&amp;#REF!&amp;#REF!</f>
        <v>#REF!</v>
      </c>
    </row>
    <row r="41" spans="1:19" ht="15" customHeight="1">
      <c r="A41" s="256" t="s">
        <v>240</v>
      </c>
      <c r="B41" s="256" t="s">
        <v>252</v>
      </c>
      <c r="C41" s="257" t="s">
        <v>253</v>
      </c>
      <c r="D41" s="245" t="s">
        <v>238</v>
      </c>
      <c r="E41" s="258" t="s">
        <v>37</v>
      </c>
      <c r="F41" s="256" t="s">
        <v>30</v>
      </c>
      <c r="G41" s="257" t="s">
        <v>31</v>
      </c>
      <c r="H41" s="295" t="s">
        <v>423</v>
      </c>
      <c r="I41" s="245" t="s">
        <v>94</v>
      </c>
      <c r="J41" s="256">
        <v>0</v>
      </c>
      <c r="K41" s="259">
        <v>0</v>
      </c>
      <c r="L41" s="263">
        <v>0</v>
      </c>
      <c r="M41" s="260"/>
      <c r="N41" s="261"/>
      <c r="O41" s="261"/>
      <c r="P41" s="261"/>
      <c r="Q41" s="261"/>
      <c r="R41" s="261"/>
      <c r="S41" s="40" t="e">
        <f>A41&amp;B41&amp;C41&amp;D41&amp;E41&amp;F41&amp;G41&amp;H41&amp;I41&amp;J41&amp;K41&amp;L41&amp;M41&amp;#REF!&amp;#REF!&amp;#REF!&amp;N41&amp;O41&amp;P41&amp;Q41&amp;R41&amp;#REF!&amp;#REF!</f>
        <v>#REF!</v>
      </c>
    </row>
    <row r="42" spans="1:19" ht="15" customHeight="1">
      <c r="A42" s="281" t="s">
        <v>255</v>
      </c>
      <c r="B42" s="281" t="s">
        <v>256</v>
      </c>
      <c r="C42" s="282" t="s">
        <v>257</v>
      </c>
      <c r="D42" s="267" t="s">
        <v>238</v>
      </c>
      <c r="E42" s="283" t="s">
        <v>37</v>
      </c>
      <c r="F42" s="281" t="s">
        <v>30</v>
      </c>
      <c r="G42" s="282" t="s">
        <v>31</v>
      </c>
      <c r="H42" s="296" t="s">
        <v>423</v>
      </c>
      <c r="I42" s="245" t="s">
        <v>94</v>
      </c>
      <c r="J42" s="281">
        <v>0</v>
      </c>
      <c r="K42" s="284">
        <v>0</v>
      </c>
      <c r="L42" s="319">
        <v>1</v>
      </c>
      <c r="M42" s="286"/>
      <c r="N42" s="287"/>
      <c r="O42" s="287"/>
      <c r="P42" s="287"/>
      <c r="Q42" s="287"/>
      <c r="R42" s="287"/>
      <c r="S42" s="40" t="e">
        <f>A42&amp;B42&amp;C42&amp;D42&amp;E42&amp;F42&amp;G42&amp;H42&amp;I42&amp;J42&amp;K42&amp;L42&amp;M42&amp;#REF!&amp;#REF!&amp;#REF!&amp;N42&amp;O42&amp;P42&amp;Q42&amp;R42&amp;#REF!&amp;#REF!</f>
        <v>#REF!</v>
      </c>
    </row>
    <row r="43" spans="1:19" ht="15" customHeight="1">
      <c r="A43" s="256" t="s">
        <v>259</v>
      </c>
      <c r="B43" s="256" t="s">
        <v>260</v>
      </c>
      <c r="C43" s="257" t="s">
        <v>261</v>
      </c>
      <c r="D43" s="245" t="s">
        <v>238</v>
      </c>
      <c r="E43" s="258" t="s">
        <v>157</v>
      </c>
      <c r="F43" s="256" t="s">
        <v>30</v>
      </c>
      <c r="G43" s="257" t="s">
        <v>31</v>
      </c>
      <c r="H43" s="295" t="s">
        <v>423</v>
      </c>
      <c r="I43" s="245" t="s">
        <v>94</v>
      </c>
      <c r="J43" s="256">
        <v>0</v>
      </c>
      <c r="K43" s="251">
        <v>4</v>
      </c>
      <c r="L43" s="320">
        <v>1</v>
      </c>
      <c r="M43" s="305"/>
      <c r="N43" s="261"/>
      <c r="O43" s="261"/>
      <c r="P43" s="261"/>
      <c r="Q43" s="261"/>
      <c r="R43" s="261"/>
      <c r="S43" s="40" t="e">
        <f>A43&amp;B43&amp;C43&amp;D43&amp;E43&amp;F43&amp;G43&amp;H43&amp;I43&amp;J43&amp;K43&amp;L43&amp;M43&amp;#REF!&amp;#REF!&amp;#REF!&amp;N43&amp;O43&amp;P43&amp;Q43&amp;R43&amp;#REF!&amp;#REF!</f>
        <v>#REF!</v>
      </c>
    </row>
    <row r="44" spans="1:19" ht="15" customHeight="1">
      <c r="A44" s="281" t="s">
        <v>263</v>
      </c>
      <c r="B44" s="281" t="s">
        <v>264</v>
      </c>
      <c r="C44" s="282" t="s">
        <v>265</v>
      </c>
      <c r="D44" s="267" t="s">
        <v>238</v>
      </c>
      <c r="E44" s="283" t="s">
        <v>157</v>
      </c>
      <c r="F44" s="281" t="s">
        <v>30</v>
      </c>
      <c r="G44" s="282" t="s">
        <v>31</v>
      </c>
      <c r="H44" s="296" t="s">
        <v>423</v>
      </c>
      <c r="I44" s="245" t="s">
        <v>94</v>
      </c>
      <c r="J44" s="281">
        <v>0</v>
      </c>
      <c r="K44" s="273">
        <v>2</v>
      </c>
      <c r="L44" s="320">
        <v>3</v>
      </c>
      <c r="M44" s="306"/>
      <c r="N44" s="287"/>
      <c r="O44" s="287"/>
      <c r="P44" s="287"/>
      <c r="Q44" s="287"/>
      <c r="R44" s="287"/>
      <c r="S44" s="40" t="e">
        <f>A44&amp;B44&amp;C44&amp;D44&amp;E44&amp;F44&amp;G44&amp;H44&amp;I44&amp;J44&amp;K44&amp;L44&amp;M44&amp;#REF!&amp;#REF!&amp;#REF!&amp;N44&amp;O44&amp;P44&amp;Q44&amp;R44&amp;#REF!&amp;#REF!</f>
        <v>#REF!</v>
      </c>
    </row>
    <row r="45" spans="1:19" ht="15.75" customHeight="1">
      <c r="A45" s="264" t="s">
        <v>263</v>
      </c>
      <c r="B45" s="256" t="s">
        <v>267</v>
      </c>
      <c r="C45" s="257" t="s">
        <v>268</v>
      </c>
      <c r="D45" s="245" t="s">
        <v>238</v>
      </c>
      <c r="E45" s="258" t="s">
        <v>37</v>
      </c>
      <c r="F45" s="256" t="s">
        <v>30</v>
      </c>
      <c r="G45" s="257" t="s">
        <v>31</v>
      </c>
      <c r="H45" s="295" t="s">
        <v>423</v>
      </c>
      <c r="I45" s="245" t="s">
        <v>94</v>
      </c>
      <c r="J45" s="256">
        <v>0</v>
      </c>
      <c r="K45" s="251">
        <v>0.85</v>
      </c>
      <c r="L45" s="321">
        <v>0.75</v>
      </c>
      <c r="M45" s="305"/>
      <c r="N45" s="261"/>
      <c r="O45" s="261"/>
      <c r="P45" s="261"/>
      <c r="Q45" s="261"/>
      <c r="R45" s="261"/>
      <c r="S45" s="40" t="e">
        <f>A45&amp;B45&amp;C45&amp;D45&amp;E45&amp;F45&amp;G45&amp;H45&amp;I45&amp;J45&amp;K45&amp;L45&amp;M45&amp;#REF!&amp;#REF!&amp;#REF!&amp;N45&amp;O45&amp;P45&amp;Q45&amp;R45&amp;#REF!&amp;#REF!</f>
        <v>#REF!</v>
      </c>
    </row>
    <row r="46" spans="1:19" ht="15" customHeight="1">
      <c r="A46" s="281" t="s">
        <v>270</v>
      </c>
      <c r="B46" s="281" t="s">
        <v>271</v>
      </c>
      <c r="C46" s="282" t="s">
        <v>272</v>
      </c>
      <c r="D46" s="267" t="s">
        <v>238</v>
      </c>
      <c r="E46" s="283" t="s">
        <v>37</v>
      </c>
      <c r="F46" s="281" t="s">
        <v>30</v>
      </c>
      <c r="G46" s="282" t="s">
        <v>31</v>
      </c>
      <c r="H46" s="296" t="s">
        <v>423</v>
      </c>
      <c r="I46" s="245" t="s">
        <v>94</v>
      </c>
      <c r="J46" s="281">
        <v>0</v>
      </c>
      <c r="K46" s="273">
        <v>0.15</v>
      </c>
      <c r="L46" s="321">
        <v>0.2</v>
      </c>
      <c r="M46" s="306"/>
      <c r="N46" s="287"/>
      <c r="O46" s="287"/>
      <c r="P46" s="287"/>
      <c r="Q46" s="287"/>
      <c r="R46" s="287"/>
      <c r="S46" s="40" t="e">
        <f>A46&amp;B46&amp;C46&amp;D46&amp;E46&amp;F46&amp;G46&amp;H46&amp;I46&amp;J46&amp;K46&amp;L46&amp;M46&amp;#REF!&amp;#REF!&amp;#REF!&amp;N46&amp;O46&amp;P46&amp;Q46&amp;R46&amp;#REF!&amp;#REF!</f>
        <v>#REF!</v>
      </c>
    </row>
    <row r="47" spans="1:19" ht="15" customHeight="1">
      <c r="A47" s="256" t="s">
        <v>263</v>
      </c>
      <c r="B47" s="256" t="s">
        <v>273</v>
      </c>
      <c r="C47" s="257" t="s">
        <v>274</v>
      </c>
      <c r="D47" s="245" t="s">
        <v>238</v>
      </c>
      <c r="E47" s="258" t="s">
        <v>37</v>
      </c>
      <c r="F47" s="256" t="s">
        <v>30</v>
      </c>
      <c r="G47" s="257" t="s">
        <v>31</v>
      </c>
      <c r="H47" s="295" t="s">
        <v>423</v>
      </c>
      <c r="I47" s="245" t="s">
        <v>94</v>
      </c>
      <c r="J47" s="256">
        <v>0</v>
      </c>
      <c r="K47" s="251">
        <v>0.85</v>
      </c>
      <c r="L47" s="321">
        <v>0.75</v>
      </c>
      <c r="M47" s="305"/>
      <c r="N47" s="261"/>
      <c r="O47" s="261"/>
      <c r="P47" s="261"/>
      <c r="Q47" s="261"/>
      <c r="R47" s="261"/>
      <c r="S47" s="40" t="e">
        <f>A47&amp;B47&amp;C47&amp;D47&amp;E47&amp;F47&amp;G47&amp;H47&amp;I47&amp;J47&amp;K47&amp;L47&amp;M47&amp;#REF!&amp;#REF!&amp;#REF!&amp;N47&amp;O47&amp;P47&amp;Q47&amp;R47&amp;#REF!&amp;#REF!</f>
        <v>#REF!</v>
      </c>
    </row>
    <row r="48" spans="1:19" ht="15" customHeight="1">
      <c r="A48" s="281" t="s">
        <v>263</v>
      </c>
      <c r="B48" s="281" t="s">
        <v>276</v>
      </c>
      <c r="C48" s="282" t="s">
        <v>277</v>
      </c>
      <c r="D48" s="267" t="s">
        <v>238</v>
      </c>
      <c r="E48" s="283" t="s">
        <v>37</v>
      </c>
      <c r="F48" s="281" t="s">
        <v>30</v>
      </c>
      <c r="G48" s="282" t="s">
        <v>31</v>
      </c>
      <c r="H48" s="296" t="s">
        <v>423</v>
      </c>
      <c r="I48" s="245" t="s">
        <v>94</v>
      </c>
      <c r="J48" s="281">
        <v>0</v>
      </c>
      <c r="K48" s="273">
        <v>0.85</v>
      </c>
      <c r="L48" s="321">
        <v>0.75</v>
      </c>
      <c r="M48" s="306"/>
      <c r="N48" s="287"/>
      <c r="O48" s="287"/>
      <c r="P48" s="287"/>
      <c r="Q48" s="287"/>
      <c r="R48" s="287"/>
      <c r="S48" s="40" t="e">
        <f>A48&amp;B48&amp;C48&amp;D48&amp;E48&amp;F48&amp;G48&amp;H48&amp;I48&amp;J48&amp;K48&amp;L48&amp;M48&amp;#REF!&amp;#REF!&amp;#REF!&amp;N48&amp;O48&amp;P48&amp;Q48&amp;R48&amp;#REF!&amp;#REF!</f>
        <v>#REF!</v>
      </c>
    </row>
    <row r="49" spans="1:19" ht="15" customHeight="1">
      <c r="A49" s="256" t="s">
        <v>263</v>
      </c>
      <c r="B49" s="256" t="s">
        <v>278</v>
      </c>
      <c r="C49" s="257" t="s">
        <v>279</v>
      </c>
      <c r="D49" s="245" t="s">
        <v>238</v>
      </c>
      <c r="E49" s="258" t="s">
        <v>157</v>
      </c>
      <c r="F49" s="256" t="s">
        <v>30</v>
      </c>
      <c r="G49" s="257" t="s">
        <v>31</v>
      </c>
      <c r="H49" s="295" t="s">
        <v>423</v>
      </c>
      <c r="I49" s="245" t="s">
        <v>94</v>
      </c>
      <c r="J49" s="256">
        <v>0</v>
      </c>
      <c r="K49" s="251">
        <v>3</v>
      </c>
      <c r="L49" s="320">
        <v>10</v>
      </c>
      <c r="M49" s="305"/>
      <c r="N49" s="261"/>
      <c r="O49" s="261"/>
      <c r="P49" s="261"/>
      <c r="Q49" s="261"/>
      <c r="R49" s="261"/>
      <c r="S49" s="40" t="e">
        <f>A49&amp;B49&amp;C49&amp;D49&amp;E49&amp;F49&amp;G49&amp;H49&amp;I49&amp;J49&amp;K49&amp;L49&amp;M49&amp;#REF!&amp;#REF!&amp;#REF!&amp;N49&amp;O49&amp;P49&amp;Q49&amp;R49&amp;#REF!&amp;#REF!</f>
        <v>#REF!</v>
      </c>
    </row>
    <row r="50" spans="1:19" ht="15" customHeight="1">
      <c r="A50" s="281" t="s">
        <v>270</v>
      </c>
      <c r="B50" s="281" t="s">
        <v>280</v>
      </c>
      <c r="C50" s="282" t="s">
        <v>281</v>
      </c>
      <c r="D50" s="267" t="s">
        <v>238</v>
      </c>
      <c r="E50" s="283" t="s">
        <v>37</v>
      </c>
      <c r="F50" s="281" t="s">
        <v>30</v>
      </c>
      <c r="G50" s="282" t="s">
        <v>31</v>
      </c>
      <c r="H50" s="296" t="s">
        <v>423</v>
      </c>
      <c r="I50" s="245" t="s">
        <v>94</v>
      </c>
      <c r="J50" s="281">
        <v>0</v>
      </c>
      <c r="K50" s="273">
        <v>0.85</v>
      </c>
      <c r="L50" s="322">
        <v>0.65</v>
      </c>
      <c r="M50" s="306"/>
      <c r="N50" s="287"/>
      <c r="O50" s="287"/>
      <c r="P50" s="287"/>
      <c r="Q50" s="287"/>
      <c r="R50" s="287"/>
      <c r="S50" s="40" t="e">
        <f>A50&amp;B50&amp;C50&amp;D50&amp;E50&amp;F50&amp;G50&amp;H50&amp;I50&amp;J50&amp;K50&amp;L50&amp;M50&amp;#REF!&amp;#REF!&amp;#REF!&amp;N50&amp;O50&amp;P50&amp;Q50&amp;R50&amp;#REF!&amp;#REF!</f>
        <v>#REF!</v>
      </c>
    </row>
    <row r="51" spans="1:19" ht="15" customHeight="1">
      <c r="A51" s="256" t="s">
        <v>270</v>
      </c>
      <c r="B51" s="256" t="s">
        <v>283</v>
      </c>
      <c r="C51" s="257" t="s">
        <v>284</v>
      </c>
      <c r="D51" s="245" t="s">
        <v>238</v>
      </c>
      <c r="E51" s="258" t="s">
        <v>37</v>
      </c>
      <c r="F51" s="256" t="s">
        <v>30</v>
      </c>
      <c r="G51" s="257" t="s">
        <v>31</v>
      </c>
      <c r="H51" s="295" t="s">
        <v>423</v>
      </c>
      <c r="I51" s="245" t="s">
        <v>94</v>
      </c>
      <c r="J51" s="256">
        <v>0</v>
      </c>
      <c r="K51" s="251">
        <v>0.85</v>
      </c>
      <c r="L51" s="322">
        <v>0.65</v>
      </c>
      <c r="M51" s="305"/>
      <c r="N51" s="261"/>
      <c r="O51" s="261"/>
      <c r="P51" s="261"/>
      <c r="Q51" s="261"/>
      <c r="R51" s="261"/>
      <c r="S51" s="40" t="e">
        <f>A51&amp;B51&amp;C51&amp;D51&amp;E51&amp;F51&amp;G51&amp;H51&amp;I51&amp;J51&amp;K51&amp;L51&amp;M51&amp;#REF!&amp;#REF!&amp;#REF!&amp;N51&amp;O51&amp;P51&amp;Q51&amp;R51&amp;#REF!&amp;#REF!</f>
        <v>#REF!</v>
      </c>
    </row>
    <row r="52" spans="1:19" ht="15" customHeight="1">
      <c r="A52" s="281" t="s">
        <v>270</v>
      </c>
      <c r="B52" s="281" t="s">
        <v>285</v>
      </c>
      <c r="C52" s="282" t="s">
        <v>286</v>
      </c>
      <c r="D52" s="267" t="s">
        <v>238</v>
      </c>
      <c r="E52" s="283" t="s">
        <v>37</v>
      </c>
      <c r="F52" s="281" t="s">
        <v>30</v>
      </c>
      <c r="G52" s="282" t="s">
        <v>31</v>
      </c>
      <c r="H52" s="296" t="s">
        <v>423</v>
      </c>
      <c r="I52" s="245" t="s">
        <v>94</v>
      </c>
      <c r="J52" s="281">
        <v>0</v>
      </c>
      <c r="K52" s="273">
        <v>0.9</v>
      </c>
      <c r="L52" s="322">
        <v>0.8</v>
      </c>
      <c r="M52" s="306"/>
      <c r="N52" s="287"/>
      <c r="O52" s="287"/>
      <c r="P52" s="287"/>
      <c r="Q52" s="287"/>
      <c r="R52" s="287"/>
      <c r="S52" s="40" t="e">
        <f>A52&amp;B52&amp;C52&amp;D52&amp;E52&amp;F52&amp;G52&amp;H52&amp;I52&amp;J52&amp;K52&amp;L52&amp;M52&amp;#REF!&amp;#REF!&amp;#REF!&amp;N52&amp;O52&amp;P52&amp;Q52&amp;R52&amp;#REF!&amp;#REF!</f>
        <v>#REF!</v>
      </c>
    </row>
    <row r="53" spans="1:19" ht="15" customHeight="1">
      <c r="A53" s="256" t="s">
        <v>287</v>
      </c>
      <c r="B53" s="256" t="s">
        <v>288</v>
      </c>
      <c r="C53" s="257" t="s">
        <v>289</v>
      </c>
      <c r="D53" s="245" t="s">
        <v>238</v>
      </c>
      <c r="E53" s="258" t="s">
        <v>37</v>
      </c>
      <c r="F53" s="256" t="s">
        <v>30</v>
      </c>
      <c r="G53" s="257" t="s">
        <v>31</v>
      </c>
      <c r="H53" s="295" t="s">
        <v>423</v>
      </c>
      <c r="I53" s="245" t="s">
        <v>193</v>
      </c>
      <c r="J53" s="256">
        <v>0</v>
      </c>
      <c r="K53" s="251">
        <v>0</v>
      </c>
      <c r="L53" s="307">
        <v>0</v>
      </c>
      <c r="M53" s="305"/>
      <c r="N53" s="261"/>
      <c r="O53" s="261"/>
      <c r="P53" s="261"/>
      <c r="Q53" s="261"/>
      <c r="R53" s="261"/>
      <c r="S53" s="40" t="e">
        <f>A53&amp;B53&amp;C53&amp;D53&amp;E53&amp;F53&amp;G53&amp;H53&amp;I53&amp;J53&amp;K53&amp;L53&amp;M53&amp;#REF!&amp;#REF!&amp;#REF!&amp;N53&amp;O53&amp;P53&amp;Q53&amp;R53&amp;#REF!&amp;#REF!</f>
        <v>#REF!</v>
      </c>
    </row>
    <row r="54" spans="1:19" ht="15" customHeight="1">
      <c r="A54" s="281" t="s">
        <v>287</v>
      </c>
      <c r="B54" s="281" t="s">
        <v>291</v>
      </c>
      <c r="C54" s="282" t="s">
        <v>292</v>
      </c>
      <c r="D54" s="267" t="s">
        <v>238</v>
      </c>
      <c r="E54" s="283" t="s">
        <v>157</v>
      </c>
      <c r="F54" s="281" t="s">
        <v>30</v>
      </c>
      <c r="G54" s="282" t="s">
        <v>31</v>
      </c>
      <c r="H54" s="296" t="s">
        <v>423</v>
      </c>
      <c r="I54" s="267" t="s">
        <v>193</v>
      </c>
      <c r="J54" s="281">
        <v>0</v>
      </c>
      <c r="K54" s="273">
        <v>0</v>
      </c>
      <c r="L54" s="307">
        <v>0</v>
      </c>
      <c r="M54" s="306"/>
      <c r="N54" s="287"/>
      <c r="O54" s="287"/>
      <c r="P54" s="287"/>
      <c r="Q54" s="287"/>
      <c r="R54" s="287"/>
      <c r="S54" s="40" t="e">
        <f>A54&amp;B54&amp;C54&amp;D54&amp;E54&amp;F54&amp;G54&amp;H54&amp;I54&amp;J54&amp;K54&amp;L54&amp;M54&amp;#REF!&amp;#REF!&amp;#REF!&amp;N54&amp;O54&amp;P54&amp;Q54&amp;R54&amp;#REF!&amp;#REF!</f>
        <v>#REF!</v>
      </c>
    </row>
    <row r="55" spans="1:19" ht="15" customHeight="1">
      <c r="A55" s="256" t="s">
        <v>287</v>
      </c>
      <c r="B55" s="256" t="s">
        <v>294</v>
      </c>
      <c r="C55" s="257" t="s">
        <v>295</v>
      </c>
      <c r="D55" s="245" t="s">
        <v>238</v>
      </c>
      <c r="E55" s="258" t="s">
        <v>157</v>
      </c>
      <c r="F55" s="256" t="s">
        <v>30</v>
      </c>
      <c r="G55" s="257" t="s">
        <v>31</v>
      </c>
      <c r="H55" s="295" t="s">
        <v>423</v>
      </c>
      <c r="I55" s="245" t="s">
        <v>193</v>
      </c>
      <c r="J55" s="256">
        <v>0</v>
      </c>
      <c r="K55" s="251">
        <v>0</v>
      </c>
      <c r="L55" s="307">
        <v>0</v>
      </c>
      <c r="M55" s="305"/>
      <c r="N55" s="261"/>
      <c r="O55" s="261"/>
      <c r="P55" s="261"/>
      <c r="Q55" s="261"/>
      <c r="R55" s="261"/>
      <c r="S55" s="40" t="e">
        <f>A55&amp;B55&amp;C55&amp;D55&amp;E55&amp;F55&amp;G55&amp;H55&amp;I55&amp;J55&amp;K55&amp;L55&amp;M55&amp;#REF!&amp;#REF!&amp;#REF!&amp;N55&amp;O55&amp;P55&amp;Q55&amp;R55&amp;#REF!&amp;#REF!</f>
        <v>#REF!</v>
      </c>
    </row>
    <row r="56" spans="1:19" ht="15" customHeight="1">
      <c r="A56" s="281" t="s">
        <v>287</v>
      </c>
      <c r="B56" s="281" t="s">
        <v>296</v>
      </c>
      <c r="C56" s="282" t="s">
        <v>297</v>
      </c>
      <c r="D56" s="267" t="s">
        <v>238</v>
      </c>
      <c r="E56" s="283" t="s">
        <v>157</v>
      </c>
      <c r="F56" s="281" t="s">
        <v>30</v>
      </c>
      <c r="G56" s="282" t="s">
        <v>31</v>
      </c>
      <c r="H56" s="296" t="s">
        <v>423</v>
      </c>
      <c r="I56" s="267" t="s">
        <v>193</v>
      </c>
      <c r="J56" s="281">
        <v>0</v>
      </c>
      <c r="K56" s="273">
        <v>0</v>
      </c>
      <c r="L56" s="307">
        <v>0</v>
      </c>
      <c r="M56" s="306"/>
      <c r="N56" s="287"/>
      <c r="O56" s="287"/>
      <c r="P56" s="287"/>
      <c r="Q56" s="287"/>
      <c r="R56" s="287"/>
      <c r="S56" s="40" t="e">
        <f>A56&amp;B56&amp;C56&amp;D56&amp;E56&amp;F56&amp;G56&amp;H56&amp;I56&amp;J56&amp;K56&amp;L56&amp;M56&amp;#REF!&amp;#REF!&amp;#REF!&amp;N56&amp;O56&amp;P56&amp;Q56&amp;R56&amp;#REF!&amp;#REF!</f>
        <v>#REF!</v>
      </c>
    </row>
    <row r="57" spans="1:19" ht="15" customHeight="1">
      <c r="A57" s="256" t="s">
        <v>298</v>
      </c>
      <c r="B57" s="256" t="s">
        <v>299</v>
      </c>
      <c r="C57" s="257" t="s">
        <v>300</v>
      </c>
      <c r="D57" s="245" t="s">
        <v>238</v>
      </c>
      <c r="E57" s="258" t="s">
        <v>37</v>
      </c>
      <c r="F57" s="256" t="s">
        <v>30</v>
      </c>
      <c r="G57" s="257" t="s">
        <v>31</v>
      </c>
      <c r="H57" s="295" t="s">
        <v>423</v>
      </c>
      <c r="I57" s="245" t="s">
        <v>193</v>
      </c>
      <c r="J57" s="256">
        <v>0</v>
      </c>
      <c r="K57" s="251">
        <v>1</v>
      </c>
      <c r="L57" s="321">
        <v>1</v>
      </c>
      <c r="M57" s="305"/>
      <c r="N57" s="261"/>
      <c r="O57" s="261"/>
      <c r="P57" s="261"/>
      <c r="Q57" s="261"/>
      <c r="R57" s="261"/>
      <c r="S57" s="40" t="e">
        <f>A57&amp;B57&amp;C57&amp;D57&amp;E57&amp;F57&amp;G57&amp;H57&amp;I57&amp;J57&amp;K57&amp;L57&amp;M57&amp;#REF!&amp;#REF!&amp;#REF!&amp;N57&amp;O57&amp;P57&amp;Q57&amp;R57&amp;#REF!&amp;#REF!</f>
        <v>#REF!</v>
      </c>
    </row>
    <row r="58" spans="1:19" ht="15" customHeight="1">
      <c r="A58" s="281" t="s">
        <v>298</v>
      </c>
      <c r="B58" s="281" t="s">
        <v>424</v>
      </c>
      <c r="C58" s="282" t="s">
        <v>425</v>
      </c>
      <c r="D58" s="267" t="s">
        <v>238</v>
      </c>
      <c r="E58" s="283" t="s">
        <v>37</v>
      </c>
      <c r="F58" s="281" t="s">
        <v>30</v>
      </c>
      <c r="G58" s="282" t="s">
        <v>31</v>
      </c>
      <c r="H58" s="296" t="s">
        <v>423</v>
      </c>
      <c r="I58" s="267" t="s">
        <v>193</v>
      </c>
      <c r="J58" s="281">
        <v>0</v>
      </c>
      <c r="K58" s="273">
        <v>0.4</v>
      </c>
      <c r="L58" s="320" t="s">
        <v>457</v>
      </c>
      <c r="M58" s="306"/>
      <c r="N58" s="287"/>
      <c r="O58" s="287"/>
      <c r="P58" s="287"/>
      <c r="Q58" s="287"/>
      <c r="R58" s="287"/>
      <c r="S58" s="40" t="e">
        <f>A58&amp;B58&amp;C58&amp;D58&amp;E58&amp;F58&amp;G58&amp;H58&amp;I58&amp;J58&amp;K58&amp;L58&amp;M58&amp;#REF!&amp;#REF!&amp;#REF!&amp;N58&amp;O58&amp;P58&amp;Q58&amp;R58&amp;#REF!&amp;#REF!</f>
        <v>#REF!</v>
      </c>
    </row>
    <row r="59" spans="1:19" ht="15" customHeight="1">
      <c r="A59" s="256" t="s">
        <v>302</v>
      </c>
      <c r="B59" s="256" t="s">
        <v>303</v>
      </c>
      <c r="C59" s="257" t="s">
        <v>304</v>
      </c>
      <c r="D59" s="245" t="s">
        <v>238</v>
      </c>
      <c r="E59" s="258" t="s">
        <v>37</v>
      </c>
      <c r="F59" s="256" t="s">
        <v>30</v>
      </c>
      <c r="G59" s="257" t="s">
        <v>31</v>
      </c>
      <c r="H59" s="295" t="s">
        <v>423</v>
      </c>
      <c r="I59" s="245" t="s">
        <v>193</v>
      </c>
      <c r="J59" s="256">
        <v>0</v>
      </c>
      <c r="K59" s="251">
        <v>0.7</v>
      </c>
      <c r="L59" s="320" t="s">
        <v>458</v>
      </c>
      <c r="M59" s="305"/>
      <c r="N59" s="261"/>
      <c r="O59" s="261"/>
      <c r="P59" s="261"/>
      <c r="Q59" s="261"/>
      <c r="R59" s="261"/>
      <c r="S59" s="40" t="e">
        <f>A59&amp;B59&amp;C59&amp;D59&amp;E59&amp;F59&amp;G59&amp;H59&amp;I59&amp;J59&amp;K59&amp;L59&amp;M59&amp;#REF!&amp;#REF!&amp;#REF!&amp;N59&amp;O59&amp;P59&amp;Q59&amp;R59&amp;#REF!&amp;#REF!</f>
        <v>#REF!</v>
      </c>
    </row>
    <row r="60" spans="1:19" ht="15" customHeight="1">
      <c r="A60" s="281" t="s">
        <v>302</v>
      </c>
      <c r="B60" s="281" t="s">
        <v>306</v>
      </c>
      <c r="C60" s="282" t="s">
        <v>307</v>
      </c>
      <c r="D60" s="267" t="s">
        <v>238</v>
      </c>
      <c r="E60" s="283" t="s">
        <v>37</v>
      </c>
      <c r="F60" s="281" t="s">
        <v>30</v>
      </c>
      <c r="G60" s="282" t="s">
        <v>31</v>
      </c>
      <c r="H60" s="296" t="s">
        <v>423</v>
      </c>
      <c r="I60" s="267" t="s">
        <v>193</v>
      </c>
      <c r="J60" s="281">
        <v>0</v>
      </c>
      <c r="K60" s="273">
        <v>1</v>
      </c>
      <c r="L60" s="320" t="s">
        <v>459</v>
      </c>
      <c r="M60" s="306"/>
      <c r="N60" s="287"/>
      <c r="O60" s="287"/>
      <c r="P60" s="287"/>
      <c r="Q60" s="287"/>
      <c r="R60" s="287"/>
      <c r="S60" s="40" t="e">
        <f>A60&amp;B60&amp;C60&amp;D60&amp;E60&amp;F60&amp;G60&amp;H60&amp;I60&amp;J60&amp;K60&amp;L60&amp;M60&amp;#REF!&amp;#REF!&amp;#REF!&amp;N60&amp;O60&amp;P60&amp;Q60&amp;R60&amp;#REF!&amp;#REF!</f>
        <v>#REF!</v>
      </c>
    </row>
    <row r="61" spans="1:19" ht="15" customHeight="1">
      <c r="A61" s="256" t="s">
        <v>302</v>
      </c>
      <c r="B61" s="256" t="s">
        <v>309</v>
      </c>
      <c r="C61" s="257" t="s">
        <v>310</v>
      </c>
      <c r="D61" s="245" t="s">
        <v>238</v>
      </c>
      <c r="E61" s="258" t="s">
        <v>37</v>
      </c>
      <c r="F61" s="256" t="s">
        <v>30</v>
      </c>
      <c r="G61" s="257" t="s">
        <v>31</v>
      </c>
      <c r="H61" s="295" t="s">
        <v>423</v>
      </c>
      <c r="I61" s="245" t="s">
        <v>193</v>
      </c>
      <c r="J61" s="256">
        <v>0</v>
      </c>
      <c r="K61" s="251">
        <v>0.6</v>
      </c>
      <c r="L61" s="323" t="s">
        <v>460</v>
      </c>
      <c r="M61" s="305"/>
      <c r="N61" s="261"/>
      <c r="O61" s="261"/>
      <c r="P61" s="261"/>
      <c r="Q61" s="261"/>
      <c r="R61" s="261"/>
      <c r="S61" s="40" t="e">
        <f>A61&amp;B61&amp;C61&amp;D61&amp;E61&amp;F61&amp;G61&amp;H61&amp;I61&amp;J61&amp;K61&amp;L61&amp;M61&amp;#REF!&amp;#REF!&amp;#REF!&amp;N61&amp;O61&amp;P61&amp;Q61&amp;R61&amp;#REF!&amp;#REF!</f>
        <v>#REF!</v>
      </c>
    </row>
    <row r="62" spans="1:19" ht="15" customHeight="1">
      <c r="A62" s="281" t="s">
        <v>312</v>
      </c>
      <c r="B62" s="281" t="s">
        <v>313</v>
      </c>
      <c r="C62" s="282" t="s">
        <v>314</v>
      </c>
      <c r="D62" s="267" t="s">
        <v>238</v>
      </c>
      <c r="E62" s="283" t="s">
        <v>37</v>
      </c>
      <c r="F62" s="281" t="s">
        <v>30</v>
      </c>
      <c r="G62" s="282" t="s">
        <v>31</v>
      </c>
      <c r="H62" s="296" t="s">
        <v>423</v>
      </c>
      <c r="I62" s="267" t="s">
        <v>193</v>
      </c>
      <c r="J62" s="281">
        <v>0</v>
      </c>
      <c r="K62" s="273">
        <v>0.98</v>
      </c>
      <c r="L62" s="266">
        <v>0</v>
      </c>
      <c r="M62" s="306"/>
      <c r="N62" s="287"/>
      <c r="O62" s="287"/>
      <c r="P62" s="287"/>
      <c r="Q62" s="287"/>
      <c r="R62" s="287"/>
      <c r="S62" s="40" t="e">
        <f>A62&amp;B62&amp;C62&amp;D62&amp;E62&amp;F62&amp;G62&amp;H62&amp;I62&amp;J62&amp;K62&amp;L62&amp;M62&amp;#REF!&amp;#REF!&amp;#REF!&amp;N62&amp;O62&amp;P62&amp;Q62&amp;R62&amp;#REF!&amp;#REF!</f>
        <v>#REF!</v>
      </c>
    </row>
    <row r="63" spans="1:19" ht="15" customHeight="1">
      <c r="A63" s="256" t="s">
        <v>316</v>
      </c>
      <c r="B63" s="256" t="s">
        <v>317</v>
      </c>
      <c r="C63" s="257" t="s">
        <v>318</v>
      </c>
      <c r="D63" s="245" t="s">
        <v>238</v>
      </c>
      <c r="E63" s="258" t="s">
        <v>157</v>
      </c>
      <c r="F63" s="256" t="s">
        <v>30</v>
      </c>
      <c r="G63" s="257" t="s">
        <v>31</v>
      </c>
      <c r="H63" s="295" t="s">
        <v>423</v>
      </c>
      <c r="I63" s="245" t="s">
        <v>193</v>
      </c>
      <c r="J63" s="256">
        <v>0</v>
      </c>
      <c r="K63" s="251">
        <v>70</v>
      </c>
      <c r="L63" s="320">
        <v>20</v>
      </c>
      <c r="M63" s="305"/>
      <c r="N63" s="261"/>
      <c r="O63" s="261"/>
      <c r="P63" s="261"/>
      <c r="Q63" s="261"/>
      <c r="R63" s="261"/>
      <c r="S63" s="40" t="e">
        <f>A63&amp;B63&amp;C63&amp;D63&amp;E63&amp;F63&amp;G63&amp;H63&amp;I63&amp;J63&amp;K63&amp;L63&amp;M63&amp;#REF!&amp;#REF!&amp;#REF!&amp;N63&amp;O63&amp;P63&amp;Q63&amp;R63&amp;#REF!&amp;#REF!</f>
        <v>#REF!</v>
      </c>
    </row>
    <row r="64" spans="1:19" ht="15" customHeight="1">
      <c r="A64" s="281" t="s">
        <v>323</v>
      </c>
      <c r="B64" s="281" t="s">
        <v>324</v>
      </c>
      <c r="C64" s="282" t="s">
        <v>325</v>
      </c>
      <c r="D64" s="267" t="s">
        <v>238</v>
      </c>
      <c r="E64" s="283" t="s">
        <v>37</v>
      </c>
      <c r="F64" s="281" t="s">
        <v>30</v>
      </c>
      <c r="G64" s="282" t="s">
        <v>31</v>
      </c>
      <c r="H64" s="296" t="s">
        <v>423</v>
      </c>
      <c r="I64" s="267" t="s">
        <v>193</v>
      </c>
      <c r="J64" s="281">
        <v>0</v>
      </c>
      <c r="K64" s="273">
        <v>0.7</v>
      </c>
      <c r="L64" s="321">
        <v>0.6</v>
      </c>
      <c r="M64" s="306"/>
      <c r="N64" s="287"/>
      <c r="O64" s="287"/>
      <c r="P64" s="287"/>
      <c r="Q64" s="287"/>
      <c r="R64" s="287"/>
      <c r="S64" s="40" t="e">
        <f>A64&amp;B64&amp;C64&amp;D64&amp;E64&amp;F64&amp;G64&amp;H64&amp;I64&amp;J64&amp;K64&amp;L64&amp;M64&amp;#REF!&amp;#REF!&amp;#REF!&amp;N64&amp;O64&amp;P64&amp;Q64&amp;R64&amp;#REF!&amp;#REF!</f>
        <v>#REF!</v>
      </c>
    </row>
    <row r="65" spans="1:19" ht="15" customHeight="1">
      <c r="A65" s="256" t="s">
        <v>330</v>
      </c>
      <c r="B65" s="256" t="s">
        <v>331</v>
      </c>
      <c r="C65" s="257" t="s">
        <v>332</v>
      </c>
      <c r="D65" s="245" t="s">
        <v>238</v>
      </c>
      <c r="E65" s="258" t="s">
        <v>37</v>
      </c>
      <c r="F65" s="256" t="s">
        <v>30</v>
      </c>
      <c r="G65" s="257" t="s">
        <v>31</v>
      </c>
      <c r="H65" s="295" t="s">
        <v>423</v>
      </c>
      <c r="I65" s="245" t="s">
        <v>193</v>
      </c>
      <c r="J65" s="256">
        <v>0</v>
      </c>
      <c r="K65" s="251">
        <v>0.9</v>
      </c>
      <c r="L65" s="321">
        <v>0.8</v>
      </c>
      <c r="M65" s="305"/>
      <c r="N65" s="261"/>
      <c r="O65" s="261"/>
      <c r="P65" s="261"/>
      <c r="Q65" s="261"/>
      <c r="R65" s="261"/>
      <c r="S65" s="40" t="e">
        <f>A65&amp;B65&amp;C65&amp;D65&amp;E65&amp;F65&amp;G65&amp;H65&amp;I65&amp;J65&amp;K65&amp;L65&amp;M65&amp;#REF!&amp;#REF!&amp;#REF!&amp;N65&amp;O65&amp;P65&amp;Q65&amp;R65&amp;#REF!&amp;#REF!</f>
        <v>#REF!</v>
      </c>
    </row>
    <row r="66" spans="1:19" ht="15" customHeight="1">
      <c r="A66" s="281" t="s">
        <v>330</v>
      </c>
      <c r="B66" s="281" t="s">
        <v>334</v>
      </c>
      <c r="C66" s="282" t="s">
        <v>335</v>
      </c>
      <c r="D66" s="267" t="s">
        <v>238</v>
      </c>
      <c r="E66" s="283" t="s">
        <v>37</v>
      </c>
      <c r="F66" s="281" t="s">
        <v>30</v>
      </c>
      <c r="G66" s="282" t="s">
        <v>31</v>
      </c>
      <c r="H66" s="296" t="s">
        <v>423</v>
      </c>
      <c r="I66" s="267" t="s">
        <v>193</v>
      </c>
      <c r="J66" s="281">
        <v>0</v>
      </c>
      <c r="K66" s="273">
        <v>1</v>
      </c>
      <c r="L66" s="321">
        <v>1</v>
      </c>
      <c r="M66" s="306"/>
      <c r="N66" s="287"/>
      <c r="O66" s="287"/>
      <c r="P66" s="287"/>
      <c r="Q66" s="287"/>
      <c r="R66" s="287"/>
      <c r="S66" s="40" t="e">
        <f>A66&amp;B66&amp;C66&amp;D66&amp;E66&amp;F66&amp;G66&amp;H66&amp;I66&amp;J66&amp;K66&amp;L66&amp;M66&amp;#REF!&amp;#REF!&amp;#REF!&amp;N66&amp;O66&amp;P66&amp;Q66&amp;R66&amp;#REF!&amp;#REF!</f>
        <v>#REF!</v>
      </c>
    </row>
    <row r="67" spans="1:19" ht="15" customHeight="1">
      <c r="A67" s="256" t="s">
        <v>337</v>
      </c>
      <c r="B67" s="256" t="s">
        <v>338</v>
      </c>
      <c r="C67" s="265" t="s">
        <v>339</v>
      </c>
      <c r="D67" s="245" t="s">
        <v>238</v>
      </c>
      <c r="E67" s="258" t="s">
        <v>37</v>
      </c>
      <c r="F67" s="256" t="s">
        <v>30</v>
      </c>
      <c r="G67" s="257" t="s">
        <v>31</v>
      </c>
      <c r="H67" s="295" t="s">
        <v>423</v>
      </c>
      <c r="I67" s="245" t="s">
        <v>461</v>
      </c>
      <c r="J67" s="256">
        <v>0</v>
      </c>
      <c r="K67" s="251">
        <v>0.97</v>
      </c>
      <c r="L67" s="321">
        <v>0.89</v>
      </c>
      <c r="M67" s="305"/>
      <c r="N67" s="261"/>
      <c r="O67" s="261"/>
      <c r="P67" s="261"/>
      <c r="Q67" s="261"/>
      <c r="R67" s="261"/>
      <c r="S67" s="40" t="e">
        <f>A67&amp;B67&amp;C67&amp;D67&amp;E67&amp;F67&amp;G67&amp;H67&amp;I67&amp;J67&amp;K67&amp;L67&amp;M67&amp;#REF!&amp;#REF!&amp;#REF!&amp;N67&amp;O67&amp;P67&amp;Q67&amp;R67&amp;#REF!&amp;#REF!</f>
        <v>#REF!</v>
      </c>
    </row>
    <row r="68" spans="1:19" ht="15" customHeight="1">
      <c r="A68" s="281" t="s">
        <v>341</v>
      </c>
      <c r="B68" s="281" t="s">
        <v>342</v>
      </c>
      <c r="C68" s="288" t="s">
        <v>343</v>
      </c>
      <c r="D68" s="267" t="s">
        <v>238</v>
      </c>
      <c r="E68" s="283" t="s">
        <v>37</v>
      </c>
      <c r="F68" s="281" t="s">
        <v>30</v>
      </c>
      <c r="G68" s="282" t="s">
        <v>31</v>
      </c>
      <c r="H68" s="296" t="s">
        <v>423</v>
      </c>
      <c r="I68" s="245" t="s">
        <v>461</v>
      </c>
      <c r="J68" s="281">
        <v>0</v>
      </c>
      <c r="K68" s="273">
        <v>0</v>
      </c>
      <c r="L68" s="303">
        <v>0</v>
      </c>
      <c r="M68" s="306"/>
      <c r="N68" s="287"/>
      <c r="O68" s="287"/>
      <c r="P68" s="287"/>
      <c r="Q68" s="287"/>
      <c r="R68" s="287"/>
      <c r="S68" s="40" t="e">
        <f>A68&amp;B68&amp;C68&amp;D68&amp;E68&amp;F68&amp;G68&amp;H68&amp;I68&amp;J68&amp;K68&amp;L68&amp;M68&amp;#REF!&amp;#REF!&amp;#REF!&amp;N68&amp;O68&amp;P68&amp;Q68&amp;R68&amp;#REF!&amp;#REF!</f>
        <v>#REF!</v>
      </c>
    </row>
    <row r="69" spans="1:19" ht="15" customHeight="1">
      <c r="A69" s="256" t="s">
        <v>346</v>
      </c>
      <c r="B69" s="256" t="s">
        <v>347</v>
      </c>
      <c r="C69" s="265" t="s">
        <v>348</v>
      </c>
      <c r="D69" s="245" t="s">
        <v>238</v>
      </c>
      <c r="E69" s="258" t="s">
        <v>37</v>
      </c>
      <c r="F69" s="256" t="s">
        <v>30</v>
      </c>
      <c r="G69" s="257" t="s">
        <v>31</v>
      </c>
      <c r="H69" s="295" t="s">
        <v>423</v>
      </c>
      <c r="I69" s="245" t="s">
        <v>461</v>
      </c>
      <c r="J69" s="256">
        <v>0</v>
      </c>
      <c r="K69" s="251">
        <v>0</v>
      </c>
      <c r="L69" s="303">
        <v>0</v>
      </c>
      <c r="M69" s="305"/>
      <c r="N69" s="261"/>
      <c r="O69" s="261"/>
      <c r="P69" s="261"/>
      <c r="Q69" s="261"/>
      <c r="R69" s="261"/>
      <c r="S69" s="40" t="e">
        <f>A69&amp;B69&amp;C69&amp;D69&amp;E69&amp;F69&amp;G69&amp;H69&amp;I69&amp;J69&amp;K69&amp;L69&amp;M69&amp;#REF!&amp;#REF!&amp;#REF!&amp;N69&amp;O69&amp;P69&amp;Q69&amp;R69&amp;#REF!&amp;#REF!</f>
        <v>#REF!</v>
      </c>
    </row>
    <row r="70" spans="1:19" ht="15" customHeight="1">
      <c r="A70" s="281" t="s">
        <v>350</v>
      </c>
      <c r="B70" s="281" t="s">
        <v>351</v>
      </c>
      <c r="C70" s="288" t="s">
        <v>352</v>
      </c>
      <c r="D70" s="267" t="s">
        <v>238</v>
      </c>
      <c r="E70" s="283" t="s">
        <v>37</v>
      </c>
      <c r="F70" s="281" t="s">
        <v>30</v>
      </c>
      <c r="G70" s="282" t="s">
        <v>31</v>
      </c>
      <c r="H70" s="296" t="s">
        <v>423</v>
      </c>
      <c r="I70" s="245" t="s">
        <v>461</v>
      </c>
      <c r="J70" s="281">
        <v>0</v>
      </c>
      <c r="K70" s="273">
        <v>0.95</v>
      </c>
      <c r="L70" s="321">
        <v>0.95</v>
      </c>
      <c r="M70" s="306"/>
      <c r="N70" s="287"/>
      <c r="O70" s="287"/>
      <c r="P70" s="287"/>
      <c r="Q70" s="287"/>
      <c r="R70" s="287"/>
      <c r="S70" s="40" t="e">
        <f>A70&amp;B70&amp;C70&amp;D70&amp;E70&amp;F70&amp;G70&amp;H70&amp;I70&amp;J70&amp;K70&amp;L70&amp;M70&amp;#REF!&amp;#REF!&amp;#REF!&amp;N70&amp;O70&amp;P70&amp;Q70&amp;R70&amp;#REF!&amp;#REF!</f>
        <v>#REF!</v>
      </c>
    </row>
    <row r="71" spans="1:19" ht="15" customHeight="1">
      <c r="A71" s="256" t="s">
        <v>358</v>
      </c>
      <c r="B71" s="256" t="s">
        <v>359</v>
      </c>
      <c r="C71" s="265" t="s">
        <v>360</v>
      </c>
      <c r="D71" s="245" t="s">
        <v>238</v>
      </c>
      <c r="E71" s="258" t="s">
        <v>37</v>
      </c>
      <c r="F71" s="256" t="s">
        <v>30</v>
      </c>
      <c r="G71" s="257" t="s">
        <v>31</v>
      </c>
      <c r="H71" s="295" t="s">
        <v>423</v>
      </c>
      <c r="I71" s="245" t="s">
        <v>461</v>
      </c>
      <c r="J71" s="256">
        <v>0</v>
      </c>
      <c r="K71" s="251">
        <v>0.95</v>
      </c>
      <c r="L71" s="324">
        <v>0.95</v>
      </c>
      <c r="M71" s="305"/>
      <c r="N71" s="261"/>
      <c r="O71" s="261"/>
      <c r="P71" s="261"/>
      <c r="Q71" s="261"/>
      <c r="R71" s="261"/>
      <c r="S71" s="40" t="e">
        <f>A71&amp;B71&amp;C71&amp;D71&amp;E71&amp;F71&amp;G71&amp;H71&amp;I71&amp;J71&amp;K71&amp;L71&amp;M71&amp;#REF!&amp;#REF!&amp;#REF!&amp;N71&amp;O71&amp;P71&amp;Q71&amp;R71&amp;#REF!&amp;#REF!</f>
        <v>#REF!</v>
      </c>
    </row>
    <row r="72" spans="1:19" ht="15.75" customHeight="1">
      <c r="A72" s="281" t="s">
        <v>365</v>
      </c>
      <c r="B72" s="281" t="s">
        <v>366</v>
      </c>
      <c r="C72" s="288" t="s">
        <v>367</v>
      </c>
      <c r="D72" s="267" t="s">
        <v>238</v>
      </c>
      <c r="E72" s="283" t="s">
        <v>157</v>
      </c>
      <c r="F72" s="281" t="s">
        <v>30</v>
      </c>
      <c r="G72" s="282" t="s">
        <v>31</v>
      </c>
      <c r="H72" s="296" t="s">
        <v>423</v>
      </c>
      <c r="I72" s="245" t="s">
        <v>461</v>
      </c>
      <c r="J72" s="281">
        <v>0</v>
      </c>
      <c r="K72" s="273">
        <v>0</v>
      </c>
      <c r="L72" s="304">
        <v>0</v>
      </c>
      <c r="M72" s="306">
        <v>9</v>
      </c>
      <c r="N72" s="287"/>
      <c r="O72" s="287"/>
      <c r="P72" s="287" t="s">
        <v>456</v>
      </c>
      <c r="Q72" s="287"/>
      <c r="R72" s="287"/>
      <c r="S72" s="40" t="e">
        <f>A72&amp;B72&amp;C72&amp;D72&amp;E72&amp;F72&amp;G72&amp;H72&amp;I72&amp;J72&amp;K72&amp;L72&amp;M72&amp;#REF!&amp;#REF!&amp;#REF!&amp;N72&amp;O72&amp;P72&amp;Q72&amp;R72&amp;#REF!&amp;#REF!</f>
        <v>#REF!</v>
      </c>
    </row>
    <row r="73" spans="1:19" ht="15.75" customHeight="1">
      <c r="A73" s="256" t="s">
        <v>365</v>
      </c>
      <c r="B73" s="256" t="s">
        <v>369</v>
      </c>
      <c r="C73" s="265" t="s">
        <v>370</v>
      </c>
      <c r="D73" s="245" t="s">
        <v>238</v>
      </c>
      <c r="E73" s="258" t="s">
        <v>157</v>
      </c>
      <c r="F73" s="256" t="s">
        <v>30</v>
      </c>
      <c r="G73" s="257" t="s">
        <v>31</v>
      </c>
      <c r="H73" s="295" t="s">
        <v>423</v>
      </c>
      <c r="I73" s="245" t="s">
        <v>461</v>
      </c>
      <c r="J73" s="256">
        <v>0</v>
      </c>
      <c r="K73" s="251">
        <v>0</v>
      </c>
      <c r="L73" s="304">
        <v>0</v>
      </c>
      <c r="M73" s="305">
        <v>46</v>
      </c>
      <c r="N73" s="261"/>
      <c r="O73" s="261"/>
      <c r="P73" s="261" t="s">
        <v>456</v>
      </c>
      <c r="Q73" s="261"/>
      <c r="R73" s="261"/>
      <c r="S73" s="40" t="e">
        <f>A73&amp;B73&amp;C73&amp;D73&amp;E73&amp;F73&amp;G73&amp;H73&amp;I73&amp;J73&amp;K73&amp;L73&amp;M73&amp;#REF!&amp;#REF!&amp;#REF!&amp;N73&amp;O73&amp;P73&amp;Q73&amp;R73&amp;#REF!&amp;#REF!</f>
        <v>#REF!</v>
      </c>
    </row>
    <row r="74" spans="1:19" ht="15.75" customHeight="1">
      <c r="A74" s="281" t="s">
        <v>365</v>
      </c>
      <c r="B74" s="281" t="s">
        <v>372</v>
      </c>
      <c r="C74" s="288" t="s">
        <v>373</v>
      </c>
      <c r="D74" s="267" t="s">
        <v>238</v>
      </c>
      <c r="E74" s="283" t="s">
        <v>157</v>
      </c>
      <c r="F74" s="281" t="s">
        <v>30</v>
      </c>
      <c r="G74" s="282" t="s">
        <v>31</v>
      </c>
      <c r="H74" s="296" t="s">
        <v>423</v>
      </c>
      <c r="I74" s="245" t="s">
        <v>461</v>
      </c>
      <c r="J74" s="281">
        <v>0</v>
      </c>
      <c r="K74" s="273">
        <v>0</v>
      </c>
      <c r="L74" s="304">
        <v>0</v>
      </c>
      <c r="M74" s="306">
        <v>73</v>
      </c>
      <c r="N74" s="287"/>
      <c r="O74" s="287"/>
      <c r="P74" s="287" t="s">
        <v>456</v>
      </c>
      <c r="Q74" s="287"/>
      <c r="R74" s="287"/>
      <c r="S74" s="40" t="e">
        <f>A74&amp;B74&amp;C74&amp;D74&amp;E74&amp;F74&amp;G74&amp;H74&amp;I74&amp;J74&amp;K74&amp;L74&amp;M74&amp;#REF!&amp;#REF!&amp;#REF!&amp;N74&amp;O74&amp;P74&amp;Q74&amp;R74&amp;#REF!&amp;#REF!</f>
        <v>#REF!</v>
      </c>
    </row>
    <row r="75" spans="1:19" ht="15" customHeight="1">
      <c r="A75" s="256" t="s">
        <v>375</v>
      </c>
      <c r="B75" s="256" t="s">
        <v>376</v>
      </c>
      <c r="C75" s="257" t="s">
        <v>377</v>
      </c>
      <c r="D75" s="245" t="s">
        <v>238</v>
      </c>
      <c r="E75" s="258" t="s">
        <v>37</v>
      </c>
      <c r="F75" s="256" t="s">
        <v>30</v>
      </c>
      <c r="G75" s="257" t="s">
        <v>31</v>
      </c>
      <c r="H75" s="295" t="s">
        <v>423</v>
      </c>
      <c r="I75" s="245" t="s">
        <v>462</v>
      </c>
      <c r="J75" s="256">
        <v>0</v>
      </c>
      <c r="K75" s="262">
        <v>0.85</v>
      </c>
      <c r="L75" s="321">
        <v>0.85</v>
      </c>
      <c r="M75" s="305">
        <v>85</v>
      </c>
      <c r="N75" s="261" t="s">
        <v>463</v>
      </c>
      <c r="O75" s="261" t="s">
        <v>464</v>
      </c>
      <c r="P75" s="261" t="s">
        <v>465</v>
      </c>
      <c r="Q75" s="261"/>
      <c r="R75" s="261"/>
      <c r="S75" s="40" t="e">
        <f>A75&amp;B75&amp;C75&amp;D75&amp;E75&amp;F75&amp;G75&amp;H75&amp;I75&amp;J75&amp;K75&amp;L75&amp;M75&amp;#REF!&amp;#REF!&amp;#REF!&amp;N75&amp;O75&amp;P75&amp;Q75&amp;R75&amp;#REF!&amp;#REF!</f>
        <v>#REF!</v>
      </c>
    </row>
    <row r="76" spans="1:19" ht="15" customHeight="1">
      <c r="A76" s="281" t="s">
        <v>382</v>
      </c>
      <c r="B76" s="281" t="s">
        <v>383</v>
      </c>
      <c r="C76" s="282" t="s">
        <v>384</v>
      </c>
      <c r="D76" s="267" t="s">
        <v>238</v>
      </c>
      <c r="E76" s="283" t="s">
        <v>37</v>
      </c>
      <c r="F76" s="281" t="s">
        <v>30</v>
      </c>
      <c r="G76" s="282" t="s">
        <v>31</v>
      </c>
      <c r="H76" s="296" t="s">
        <v>423</v>
      </c>
      <c r="I76" s="245" t="s">
        <v>462</v>
      </c>
      <c r="J76" s="281">
        <v>0</v>
      </c>
      <c r="K76" s="285">
        <v>0.95</v>
      </c>
      <c r="L76" s="321">
        <v>0.95</v>
      </c>
      <c r="M76" s="306">
        <v>95</v>
      </c>
      <c r="N76" s="339" t="s">
        <v>466</v>
      </c>
      <c r="O76" s="339" t="s">
        <v>467</v>
      </c>
      <c r="P76" s="287" t="s">
        <v>468</v>
      </c>
      <c r="Q76" s="287"/>
      <c r="R76" s="287"/>
      <c r="S76" s="40" t="e">
        <f>A76&amp;B76&amp;C76&amp;D76&amp;E76&amp;F76&amp;G76&amp;H76&amp;I76&amp;J76&amp;K76&amp;L76&amp;M76&amp;#REF!&amp;#REF!&amp;#REF!&amp;N76&amp;O76&amp;P76&amp;Q76&amp;R76&amp;#REF!&amp;#REF!</f>
        <v>#REF!</v>
      </c>
    </row>
    <row r="77" spans="1:19" ht="15" customHeight="1">
      <c r="A77" s="257" t="s">
        <v>386</v>
      </c>
      <c r="B77" s="256" t="s">
        <v>387</v>
      </c>
      <c r="C77" s="265" t="s">
        <v>388</v>
      </c>
      <c r="D77" s="245" t="s">
        <v>238</v>
      </c>
      <c r="E77" s="258" t="s">
        <v>37</v>
      </c>
      <c r="F77" s="256" t="s">
        <v>30</v>
      </c>
      <c r="G77" s="257" t="s">
        <v>31</v>
      </c>
      <c r="H77" s="295" t="s">
        <v>423</v>
      </c>
      <c r="I77" s="245" t="s">
        <v>62</v>
      </c>
      <c r="J77" s="256">
        <v>0</v>
      </c>
      <c r="K77" s="251">
        <v>10</v>
      </c>
      <c r="L77" s="320">
        <v>2</v>
      </c>
      <c r="M77" s="305"/>
      <c r="N77" s="261"/>
      <c r="O77" s="261"/>
      <c r="P77" s="261"/>
      <c r="Q77" s="261"/>
      <c r="R77" s="261"/>
      <c r="S77" s="40" t="e">
        <f>A77&amp;B77&amp;C77&amp;D77&amp;E77&amp;F77&amp;G77&amp;H77&amp;I77&amp;J77&amp;K77&amp;L77&amp;M77&amp;#REF!&amp;#REF!&amp;#REF!&amp;N77&amp;O77&amp;P77&amp;Q77&amp;R77&amp;#REF!&amp;#REF!</f>
        <v>#REF!</v>
      </c>
    </row>
    <row r="78" spans="1:19" ht="15" customHeight="1">
      <c r="A78" s="282" t="s">
        <v>393</v>
      </c>
      <c r="B78" s="281" t="s">
        <v>394</v>
      </c>
      <c r="C78" s="288" t="s">
        <v>395</v>
      </c>
      <c r="D78" s="267" t="s">
        <v>238</v>
      </c>
      <c r="E78" s="283" t="s">
        <v>37</v>
      </c>
      <c r="F78" s="281" t="s">
        <v>30</v>
      </c>
      <c r="G78" s="282" t="s">
        <v>31</v>
      </c>
      <c r="H78" s="296" t="s">
        <v>423</v>
      </c>
      <c r="I78" s="245" t="s">
        <v>62</v>
      </c>
      <c r="J78" s="281">
        <v>0</v>
      </c>
      <c r="K78" s="273">
        <v>60</v>
      </c>
      <c r="L78" s="320">
        <v>15</v>
      </c>
      <c r="M78" s="306"/>
      <c r="N78" s="287"/>
      <c r="O78" s="287"/>
      <c r="P78" s="287"/>
      <c r="Q78" s="287"/>
      <c r="R78" s="287"/>
      <c r="S78" s="40" t="e">
        <f>A78&amp;B78&amp;C78&amp;D78&amp;E78&amp;F78&amp;G78&amp;H78&amp;I78&amp;J78&amp;K78&amp;L78&amp;M78&amp;#REF!&amp;#REF!&amp;#REF!&amp;N78&amp;O78&amp;P78&amp;Q78&amp;R78&amp;#REF!&amp;#REF!</f>
        <v>#REF!</v>
      </c>
    </row>
    <row r="79" spans="1:19" ht="15" customHeight="1">
      <c r="A79" s="257" t="s">
        <v>400</v>
      </c>
      <c r="B79" s="256" t="s">
        <v>401</v>
      </c>
      <c r="C79" s="265" t="s">
        <v>402</v>
      </c>
      <c r="D79" s="245" t="s">
        <v>238</v>
      </c>
      <c r="E79" s="258" t="s">
        <v>157</v>
      </c>
      <c r="F79" s="256" t="s">
        <v>30</v>
      </c>
      <c r="G79" s="257" t="s">
        <v>31</v>
      </c>
      <c r="H79" s="295" t="s">
        <v>423</v>
      </c>
      <c r="I79" s="245" t="s">
        <v>62</v>
      </c>
      <c r="J79" s="256">
        <v>0</v>
      </c>
      <c r="K79" s="251">
        <v>6</v>
      </c>
      <c r="L79" s="266">
        <v>0</v>
      </c>
      <c r="M79" s="305"/>
      <c r="N79" s="261"/>
      <c r="O79" s="261"/>
      <c r="P79" s="261"/>
      <c r="Q79" s="261"/>
      <c r="R79" s="261"/>
      <c r="S79" s="40" t="e">
        <f>A79&amp;B79&amp;C79&amp;D79&amp;E79&amp;F79&amp;G79&amp;H79&amp;I79&amp;J79&amp;K79&amp;L79&amp;M79&amp;#REF!&amp;#REF!&amp;#REF!&amp;N79&amp;O79&amp;P79&amp;Q79&amp;R79&amp;#REF!&amp;#REF!</f>
        <v>#REF!</v>
      </c>
    </row>
    <row r="80" spans="1:19">
      <c r="D80" s="289"/>
      <c r="H80" s="297"/>
    </row>
    <row r="81" spans="8:8">
      <c r="H81" s="297"/>
    </row>
    <row r="82" spans="8:8">
      <c r="H82" s="297"/>
    </row>
    <row r="83" spans="8:8">
      <c r="H83" s="297"/>
    </row>
    <row r="84" spans="8:8">
      <c r="H84" s="297"/>
    </row>
    <row r="85" spans="8:8">
      <c r="H85" s="297"/>
    </row>
    <row r="86" spans="8:8">
      <c r="H86" s="297"/>
    </row>
    <row r="87" spans="8:8">
      <c r="H87" s="297"/>
    </row>
  </sheetData>
  <sheetProtection sheet="1" objects="1" scenarios="1"/>
  <protectedRanges>
    <protectedRange sqref="M1:M1048576" name="نطاق1"/>
    <protectedRange sqref="N1:P1048576" name="نطاق2"/>
  </protectedRanges>
  <mergeCells count="1">
    <mergeCell ref="A1:R1"/>
  </mergeCells>
  <conditionalFormatting sqref="A8:K11 A2:R7 A12:R17 M8:R11 A19:R19 A18:K18 M18:R18 A21:R21 A20:K20 M20:R20 A23:R24 A22:K22 M22:R22 A35:R36 A25:K34 M25:R34 A37:K37 M37:R38 A53:R56 M42:R52 A62:R62 A57:K61 M57:R61 A63:K67 M63:R67 M70:R71 M75:R78 J42:K52 J38:K38 J39:R41 A38:I52 J70:K71 J72:R74 J68:R69 A68:I74 A75:K77 J78:K78 J79:R79 A78:I79">
    <cfRule type="expression" dxfId="73" priority="69">
      <formula>$Q2="مرفوض"</formula>
    </cfRule>
    <cfRule type="expression" dxfId="72" priority="70">
      <formula>$Q2="معتمد"</formula>
    </cfRule>
    <cfRule type="expression" dxfId="71" priority="71">
      <formula>$Q2="تحت المراجعة"</formula>
    </cfRule>
  </conditionalFormatting>
  <conditionalFormatting sqref="W8:AR8">
    <cfRule type="expression" dxfId="70" priority="66">
      <formula>$Q5="مرفوض"</formula>
    </cfRule>
    <cfRule type="expression" dxfId="69" priority="67">
      <formula>$Q5="معتمد"</formula>
    </cfRule>
    <cfRule type="expression" dxfId="68" priority="68">
      <formula>$Q5="تحت المراجعة"</formula>
    </cfRule>
  </conditionalFormatting>
  <conditionalFormatting sqref="L8">
    <cfRule type="expression" dxfId="67" priority="65">
      <formula>$M8=TRUE</formula>
    </cfRule>
  </conditionalFormatting>
  <conditionalFormatting sqref="L9">
    <cfRule type="expression" dxfId="66" priority="63">
      <formula>$M9=TRUE</formula>
    </cfRule>
  </conditionalFormatting>
  <conditionalFormatting sqref="L10">
    <cfRule type="expression" dxfId="65" priority="61">
      <formula>$M10=TRUE</formula>
    </cfRule>
  </conditionalFormatting>
  <conditionalFormatting sqref="L11">
    <cfRule type="expression" dxfId="64" priority="59">
      <formula>$M11=TRUE</formula>
    </cfRule>
  </conditionalFormatting>
  <conditionalFormatting sqref="L18">
    <cfRule type="expression" dxfId="63" priority="57">
      <formula>$M18=TRUE</formula>
    </cfRule>
  </conditionalFormatting>
  <conditionalFormatting sqref="L20">
    <cfRule type="expression" dxfId="62" priority="55">
      <formula>$M20=TRUE</formula>
    </cfRule>
  </conditionalFormatting>
  <conditionalFormatting sqref="L22">
    <cfRule type="expression" dxfId="61" priority="53">
      <formula>$M22=TRUE</formula>
    </cfRule>
  </conditionalFormatting>
  <conditionalFormatting sqref="L25">
    <cfRule type="expression" dxfId="60" priority="51">
      <formula>$M25=TRUE</formula>
    </cfRule>
  </conditionalFormatting>
  <conditionalFormatting sqref="L26">
    <cfRule type="expression" dxfId="59" priority="49">
      <formula>$M26=TRUE</formula>
    </cfRule>
  </conditionalFormatting>
  <conditionalFormatting sqref="L27">
    <cfRule type="expression" dxfId="58" priority="47">
      <formula>$M27=TRUE</formula>
    </cfRule>
  </conditionalFormatting>
  <conditionalFormatting sqref="L28">
    <cfRule type="expression" dxfId="57" priority="45">
      <formula>$M28=TRUE</formula>
    </cfRule>
  </conditionalFormatting>
  <conditionalFormatting sqref="L29">
    <cfRule type="expression" dxfId="56" priority="43">
      <formula>$M29=TRUE</formula>
    </cfRule>
  </conditionalFormatting>
  <conditionalFormatting sqref="L30">
    <cfRule type="expression" dxfId="55" priority="41">
      <formula>$M30=TRUE</formula>
    </cfRule>
  </conditionalFormatting>
  <conditionalFormatting sqref="L31">
    <cfRule type="expression" dxfId="54" priority="39">
      <formula>$M31=TRUE</formula>
    </cfRule>
  </conditionalFormatting>
  <conditionalFormatting sqref="L32">
    <cfRule type="expression" dxfId="53" priority="37">
      <formula>$M32=TRUE</formula>
    </cfRule>
  </conditionalFormatting>
  <conditionalFormatting sqref="L33">
    <cfRule type="expression" dxfId="52" priority="35">
      <formula>$M33=TRUE</formula>
    </cfRule>
  </conditionalFormatting>
  <conditionalFormatting sqref="L37">
    <cfRule type="expression" dxfId="51" priority="31">
      <formula>$O37=TRUE</formula>
    </cfRule>
  </conditionalFormatting>
  <conditionalFormatting sqref="L38">
    <cfRule type="expression" dxfId="50" priority="30">
      <formula>$O38=TRUE</formula>
    </cfRule>
  </conditionalFormatting>
  <conditionalFormatting sqref="L42">
    <cfRule type="expression" dxfId="49" priority="29">
      <formula>$O42=TRUE</formula>
    </cfRule>
  </conditionalFormatting>
  <conditionalFormatting sqref="L43">
    <cfRule type="expression" dxfId="48" priority="28">
      <formula>$O43=TRUE</formula>
    </cfRule>
  </conditionalFormatting>
  <conditionalFormatting sqref="L44">
    <cfRule type="expression" dxfId="47" priority="27">
      <formula>$O44=TRUE</formula>
    </cfRule>
  </conditionalFormatting>
  <conditionalFormatting sqref="L45">
    <cfRule type="expression" dxfId="46" priority="26">
      <formula>$O45=TRUE</formula>
    </cfRule>
  </conditionalFormatting>
  <conditionalFormatting sqref="L46">
    <cfRule type="expression" dxfId="45" priority="25">
      <formula>$O46=TRUE</formula>
    </cfRule>
  </conditionalFormatting>
  <conditionalFormatting sqref="L47">
    <cfRule type="expression" dxfId="44" priority="24">
      <formula>$O47=TRUE</formula>
    </cfRule>
  </conditionalFormatting>
  <conditionalFormatting sqref="L48">
    <cfRule type="expression" dxfId="43" priority="23">
      <formula>$O48=TRUE</formula>
    </cfRule>
  </conditionalFormatting>
  <conditionalFormatting sqref="L49">
    <cfRule type="expression" dxfId="42" priority="22">
      <formula>$O49=TRUE</formula>
    </cfRule>
  </conditionalFormatting>
  <conditionalFormatting sqref="L50">
    <cfRule type="expression" dxfId="41" priority="21">
      <formula>$O50=TRUE</formula>
    </cfRule>
  </conditionalFormatting>
  <conditionalFormatting sqref="L51">
    <cfRule type="expression" dxfId="40" priority="20">
      <formula>$O51=TRUE</formula>
    </cfRule>
  </conditionalFormatting>
  <conditionalFormatting sqref="L52">
    <cfRule type="expression" dxfId="39" priority="19">
      <formula>$O52=TRUE</formula>
    </cfRule>
  </conditionalFormatting>
  <conditionalFormatting sqref="L57">
    <cfRule type="expression" dxfId="38" priority="18">
      <formula>$O57=TRUE</formula>
    </cfRule>
  </conditionalFormatting>
  <conditionalFormatting sqref="L58">
    <cfRule type="expression" dxfId="37" priority="17">
      <formula>$O58=TRUE</formula>
    </cfRule>
  </conditionalFormatting>
  <conditionalFormatting sqref="L59">
    <cfRule type="expression" dxfId="36" priority="16">
      <formula>$O59=TRUE</formula>
    </cfRule>
  </conditionalFormatting>
  <conditionalFormatting sqref="L60">
    <cfRule type="expression" dxfId="35" priority="15">
      <formula>$O60=TRUE</formula>
    </cfRule>
  </conditionalFormatting>
  <conditionalFormatting sqref="L61">
    <cfRule type="expression" dxfId="34" priority="14">
      <formula>$O61=TRUE</formula>
    </cfRule>
  </conditionalFormatting>
  <conditionalFormatting sqref="L63">
    <cfRule type="expression" dxfId="33" priority="13">
      <formula>$O63=TRUE</formula>
    </cfRule>
  </conditionalFormatting>
  <conditionalFormatting sqref="L64">
    <cfRule type="expression" dxfId="32" priority="12">
      <formula>$O64=TRUE</formula>
    </cfRule>
  </conditionalFormatting>
  <conditionalFormatting sqref="L65">
    <cfRule type="expression" dxfId="31" priority="11">
      <formula>$O65=TRUE</formula>
    </cfRule>
  </conditionalFormatting>
  <conditionalFormatting sqref="L66">
    <cfRule type="expression" dxfId="30" priority="10">
      <formula>$O66=TRUE</formula>
    </cfRule>
  </conditionalFormatting>
  <conditionalFormatting sqref="L67">
    <cfRule type="expression" dxfId="29" priority="9">
      <formula>$O67=TRUE</formula>
    </cfRule>
  </conditionalFormatting>
  <conditionalFormatting sqref="L70">
    <cfRule type="expression" dxfId="28" priority="8">
      <formula>$O70=TRUE</formula>
    </cfRule>
  </conditionalFormatting>
  <conditionalFormatting sqref="L71">
    <cfRule type="expression" dxfId="27" priority="7">
      <formula>$O71=TRUE</formula>
    </cfRule>
  </conditionalFormatting>
  <conditionalFormatting sqref="L75">
    <cfRule type="expression" dxfId="26" priority="6">
      <formula>$O75=TRUE</formula>
    </cfRule>
  </conditionalFormatting>
  <conditionalFormatting sqref="L76">
    <cfRule type="expression" dxfId="25" priority="5">
      <formula>$O76=TRUE</formula>
    </cfRule>
  </conditionalFormatting>
  <conditionalFormatting sqref="L77">
    <cfRule type="expression" dxfId="24" priority="4">
      <formula>$O77=TRUE</formula>
    </cfRule>
  </conditionalFormatting>
  <conditionalFormatting sqref="L78">
    <cfRule type="expression" dxfId="23" priority="3">
      <formula>$O78=TRUE</formula>
    </cfRule>
  </conditionalFormatting>
  <conditionalFormatting sqref="L34">
    <cfRule type="expression" dxfId="22" priority="2">
      <formula>$M34=TRUE</formula>
    </cfRule>
  </conditionalFormatting>
  <conditionalFormatting sqref="L8:L11 L18 L20 L22 L25:L34">
    <cfRule type="expression" dxfId="21" priority="255">
      <formula>#REF!=TRUE</formula>
    </cfRule>
  </conditionalFormatting>
  <dataValidations count="2">
    <dataValidation type="list" allowBlank="1" showInputMessage="1" showErrorMessage="1" sqref="Q3:Q79" xr:uid="{00000000-0002-0000-0200-000000000000}">
      <formula1>"تحت المراجعة,معتمد,مرفوض"</formula1>
    </dataValidation>
    <dataValidation type="list" allowBlank="1" showInputMessage="1" showErrorMessage="1" sqref="D3:D79" xr:uid="{00000000-0002-0000-0200-000001000000}">
      <formula1>"استراتيجي,تشغيلي"</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884B-6CB7-4878-8939-408D5D064658}">
  <dimension ref="D3:I26"/>
  <sheetViews>
    <sheetView rightToLeft="1" workbookViewId="0">
      <selection activeCell="D21" sqref="D21"/>
    </sheetView>
  </sheetViews>
  <sheetFormatPr defaultRowHeight="15"/>
  <cols>
    <col min="1" max="3" width="3.42578125" style="32" customWidth="1"/>
    <col min="4" max="4" width="38.5703125" style="32" customWidth="1"/>
    <col min="5" max="6" width="16.7109375" style="32" customWidth="1"/>
    <col min="7" max="7" width="19.140625" style="32" customWidth="1"/>
    <col min="8" max="8" width="16.85546875" style="32" customWidth="1"/>
    <col min="9" max="9" width="12.7109375" style="32" customWidth="1"/>
    <col min="10" max="10" width="14.5703125" style="32" customWidth="1"/>
    <col min="11" max="13" width="9.140625" style="32"/>
    <col min="14" max="14" width="16" style="32" customWidth="1"/>
    <col min="15" max="16384" width="9.140625" style="32"/>
  </cols>
  <sheetData>
    <row r="3" spans="4:9">
      <c r="D3" s="332" t="s">
        <v>469</v>
      </c>
      <c r="E3" s="332" t="s">
        <v>470</v>
      </c>
      <c r="F3" s="332" t="s">
        <v>471</v>
      </c>
      <c r="G3" s="332" t="s">
        <v>472</v>
      </c>
      <c r="H3" s="332" t="s">
        <v>473</v>
      </c>
      <c r="I3" s="332" t="s">
        <v>474</v>
      </c>
    </row>
    <row r="4" spans="4:9">
      <c r="D4" s="333" t="str" cm="1">
        <f t="array" ref="D4:D12">_xlfn.LET(_xlpm.x,_xlfn._xlws.FILTER('قياس الأداء للربع الثاني'!I3:I1000,'قياس الأداء للربع الثاني'!I3:I1000&lt;&gt;""),_xlpm.y,TRIM(SUBSTITUTE(SUBSTITUTE(SUBSTITUTE(SUBSTITUTE(_xlpm.x,"إدارة الرعاية و التمكين","إدارة الرعاية والتمكين"),"إدارة الشؤون المالية و الإدارية","إدارة الشؤون المالية والإدارية"),"إدارة الإتصال المؤسسي","إدارة الاتصال المؤسسي"),"إدارة الإستدامة","إدارة الاستدامة")),_xlfn.UNIQUE(_xlpm.y))</f>
        <v>إدارة الرعاية والتمكين</v>
      </c>
      <c r="E4" s="333" cm="1">
        <f t="array" ref="E4">IF($D4="","",_xlfn.LET(
_xlpm.d,TRIM(SUBSTITUTE(SUBSTITUTE(SUBSTITUTE(SUBSTITUTE($D4,"إدارة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6</v>
      </c>
      <c r="F4" s="333" cm="1">
        <f t="array" ref="F4">IF($D4="","",_xlfn.LET(
_xlpm.d,TRIM(SUBSTITUTE(SUBSTITUTE(SUBSTITUTE(SUBSTITUTE($D4,"إدارة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5</v>
      </c>
      <c r="G4" s="333" cm="1">
        <f t="array" ref="G4">IF($D4="","",_xlfn.LET(
_xlpm.d,TRIM(SUBSTITUTE(SUBSTITUTE(SUBSTITUTE(SUBSTITUTE($D4,"إدارة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1</v>
      </c>
      <c r="H4" s="333" cm="1">
        <f t="array" ref="H4">IF($D4="","",_xlfn.LET(
_xlpm.d,TRIM(SUBSTITUTE(SUBSTITUTE(SUBSTITUTE(SUBSTITUTE($D4,"إدارة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0</v>
      </c>
      <c r="I4" s="334">
        <f>IFERROR($F4/$E4,0)</f>
        <v>0.83333333333333337</v>
      </c>
    </row>
    <row r="5" spans="4:9">
      <c r="D5" s="32" t="str">
        <v>إدارة التكافل المجتمعي</v>
      </c>
      <c r="E5" s="32" cm="1">
        <f t="array" ref="E5">IF($D5="","",_xlfn.LET(
_xlpm.d,TRIM(SUBSTITUTE(SUBSTITUTE(SUBSTITUTE(SUBSTITUTE($D5,"إدارة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9</v>
      </c>
      <c r="F5" s="32" cm="1">
        <f t="array" ref="F5">IF($D5="","",_xlfn.LET(
_xlpm.d,TRIM(SUBSTITUTE(SUBSTITUTE(SUBSTITUTE(SUBSTITUTE($D5,"إدارة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0</v>
      </c>
      <c r="G5" s="32" cm="1">
        <f t="array" ref="G5">IF($D5="","",_xlfn.LET(
_xlpm.d,TRIM(SUBSTITUTE(SUBSTITUTE(SUBSTITUTE(SUBSTITUTE($D5,"إدارة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9</v>
      </c>
      <c r="H5" s="32" cm="1">
        <f t="array" ref="H5">IF($D5="","",_xlfn.LET(
_xlpm.d,TRIM(SUBSTITUTE(SUBSTITUTE(SUBSTITUTE(SUBSTITUTE($D5,"إدارة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0</v>
      </c>
      <c r="I5" s="331">
        <f t="shared" ref="I5:I12" si="0">IFERROR($F5/$E5,0)</f>
        <v>0</v>
      </c>
    </row>
    <row r="6" spans="4:9">
      <c r="D6" s="335" t="str">
        <v>إدارة الشؤون المالية والإدارية</v>
      </c>
      <c r="E6" s="335" cm="1">
        <f t="array" ref="E6">IF($D6="","",_xlfn.LET(
_xlpm.d,TRIM(SUBSTITUTE(SUBSTITUTE(SUBSTITUTE(SUBSTITUTE($D6,"إدارة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20</v>
      </c>
      <c r="F6" s="335" cm="1">
        <f t="array" ref="F6">IF($D6="","",_xlfn.LET(
_xlpm.d,TRIM(SUBSTITUTE(SUBSTITUTE(SUBSTITUTE(SUBSTITUTE($D6,"إدارة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0</v>
      </c>
      <c r="G6" s="335" cm="1">
        <f t="array" ref="G6">IF($D6="","",_xlfn.LET(
_xlpm.d,TRIM(SUBSTITUTE(SUBSTITUTE(SUBSTITUTE(SUBSTITUTE($D6,"إدارة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20</v>
      </c>
      <c r="H6" s="335" cm="1">
        <f t="array" ref="H6">IF($D6="","",_xlfn.LET(
_xlpm.d,TRIM(SUBSTITUTE(SUBSTITUTE(SUBSTITUTE(SUBSTITUTE($D6,"إدارة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0</v>
      </c>
      <c r="I6" s="336">
        <f t="shared" si="0"/>
        <v>0</v>
      </c>
    </row>
    <row r="7" spans="4:9">
      <c r="D7" s="32" t="str">
        <v>إدارة الاستدامة</v>
      </c>
      <c r="E7" s="32" cm="1">
        <f t="array" ref="E7">IF($D7="","",_xlfn.LET(
_xlpm.d,TRIM(SUBSTITUTE(SUBSTITUTE(SUBSTITUTE(SUBSTITUTE($D7,"إدارة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1</v>
      </c>
      <c r="F7" s="32" cm="1">
        <f t="array" ref="F7">IF($D7="","",_xlfn.LET(
_xlpm.d,TRIM(SUBSTITUTE(SUBSTITUTE(SUBSTITUTE(SUBSTITUTE($D7,"إدارة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0</v>
      </c>
      <c r="G7" s="32" cm="1">
        <f t="array" ref="G7">IF($D7="","",_xlfn.LET(
_xlpm.d,TRIM(SUBSTITUTE(SUBSTITUTE(SUBSTITUTE(SUBSTITUTE($D7,"إدارة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1</v>
      </c>
      <c r="H7" s="32" cm="1">
        <f t="array" ref="H7">IF($D7="","",_xlfn.LET(
_xlpm.d,TRIM(SUBSTITUTE(SUBSTITUTE(SUBSTITUTE(SUBSTITUTE($D7,"إدارة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0</v>
      </c>
      <c r="I7" s="331">
        <f t="shared" si="0"/>
        <v>0</v>
      </c>
    </row>
    <row r="8" spans="4:9">
      <c r="D8" s="335" t="str">
        <v>إدارة الاتصال المؤسسي</v>
      </c>
      <c r="E8" s="335" cm="1">
        <f t="array" ref="E8">IF($D8="","",_xlfn.LET(
_xlpm.d,TRIM(SUBSTITUTE(SUBSTITUTE(SUBSTITUTE(SUBSTITUTE($D8,"إدارة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17</v>
      </c>
      <c r="F8" s="335" cm="1">
        <f t="array" ref="F8">IF($D8="","",_xlfn.LET(
_xlpm.d,TRIM(SUBSTITUTE(SUBSTITUTE(SUBSTITUTE(SUBSTITUTE($D8,"إدارة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1</v>
      </c>
      <c r="G8" s="335" cm="1">
        <f t="array" ref="G8">IF($D8="","",_xlfn.LET(
_xlpm.d,TRIM(SUBSTITUTE(SUBSTITUTE(SUBSTITUTE(SUBSTITUTE($D8,"إدارة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13</v>
      </c>
      <c r="H8" s="335" cm="1">
        <f t="array" ref="H8">IF($D8="","",_xlfn.LET(
_xlpm.d,TRIM(SUBSTITUTE(SUBSTITUTE(SUBSTITUTE(SUBSTITUTE($D8,"إدارة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3</v>
      </c>
      <c r="I8" s="336">
        <f t="shared" si="0"/>
        <v>5.8823529411764705E-2</v>
      </c>
    </row>
    <row r="9" spans="4:9">
      <c r="D9" s="32" t="str">
        <v>إدارة الرعاية والتمكين،إدارة التكافل المجتمعي</v>
      </c>
      <c r="E9" s="32" cm="1">
        <f t="array" ref="E9">IF($D9="","",_xlfn.LET(
_xlpm.d,TRIM(SUBSTITUTE(SUBSTITUTE(SUBSTITUTE(SUBSTITUTE($D9,"إدارة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2</v>
      </c>
      <c r="F9" s="32" cm="1">
        <f t="array" ref="F9">IF($D9="","",_xlfn.LET(
_xlpm.d,TRIM(SUBSTITUTE(SUBSTITUTE(SUBSTITUTE(SUBSTITUTE($D9,"إدارة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0</v>
      </c>
      <c r="G9" s="32" cm="1">
        <f t="array" ref="G9">IF($D9="","",_xlfn.LET(
_xlpm.d,TRIM(SUBSTITUTE(SUBSTITUTE(SUBSTITUTE(SUBSTITUTE($D9,"إدارة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0</v>
      </c>
      <c r="H9" s="32" cm="1">
        <f t="array" ref="H9">IF($D9="","",_xlfn.LET(
_xlpm.d,TRIM(SUBSTITUTE(SUBSTITUTE(SUBSTITUTE(SUBSTITUTE($D9,"إدارة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2</v>
      </c>
      <c r="I9" s="331">
        <f t="shared" si="0"/>
        <v>0</v>
      </c>
    </row>
    <row r="10" spans="4:9">
      <c r="D10" s="335" t="str">
        <v>إدارة الشؤون المالية والإدارية،إدارة الأداء و النمو</v>
      </c>
      <c r="E10" s="335" cm="1">
        <f t="array" ref="E10">IF($D10="","",_xlfn.LET(
_xlpm.d,TRIM(SUBSTITUTE(SUBSTITUTE(SUBSTITUTE(SUBSTITUTE($D10,"إدارة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2</v>
      </c>
      <c r="F10" s="335" cm="1">
        <f t="array" ref="F10">IF($D10="","",_xlfn.LET(
_xlpm.d,TRIM(SUBSTITUTE(SUBSTITUTE(SUBSTITUTE(SUBSTITUTE($D10,"إدارة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0</v>
      </c>
      <c r="G10" s="335" cm="1">
        <f t="array" ref="G10">IF($D10="","",_xlfn.LET(
_xlpm.d,TRIM(SUBSTITUTE(SUBSTITUTE(SUBSTITUTE(SUBSTITUTE($D10,"إدارة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2</v>
      </c>
      <c r="H10" s="335" cm="1">
        <f t="array" ref="H10">IF($D10="","",_xlfn.LET(
_xlpm.d,TRIM(SUBSTITUTE(SUBSTITUTE(SUBSTITUTE(SUBSTITUTE($D10,"إدارة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0</v>
      </c>
      <c r="I10" s="336">
        <f t="shared" si="0"/>
        <v>0</v>
      </c>
    </row>
    <row r="11" spans="4:9">
      <c r="D11" s="32" t="str">
        <v>إدارة الأداء و النمو</v>
      </c>
      <c r="E11" s="32" cm="1">
        <f t="array" ref="E11">IF($D11="","",_xlfn.LET(
_xlpm.d,TRIM(SUBSTITUTE(SUBSTITUTE(SUBSTITUTE(SUBSTITUTE($D11,"إدارة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19</v>
      </c>
      <c r="F11" s="32" cm="1">
        <f t="array" ref="F11">IF($D11="","",_xlfn.LET(
_xlpm.d,TRIM(SUBSTITUTE(SUBSTITUTE(SUBSTITUTE(SUBSTITUTE($D11,"إدارة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0</v>
      </c>
      <c r="G11" s="32" cm="1">
        <f t="array" ref="G11">IF($D11="","",_xlfn.LET(
_xlpm.d,TRIM(SUBSTITUTE(SUBSTITUTE(SUBSTITUTE(SUBSTITUTE($D11,"إدارة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19</v>
      </c>
      <c r="H11" s="32" cm="1">
        <f t="array" ref="H11">IF($D11="","",_xlfn.LET(
_xlpm.d,TRIM(SUBSTITUTE(SUBSTITUTE(SUBSTITUTE(SUBSTITUTE($D11,"إدارة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0</v>
      </c>
      <c r="I11" s="331">
        <f t="shared" si="0"/>
        <v>0</v>
      </c>
    </row>
    <row r="12" spans="4:9">
      <c r="D12" s="337" t="str">
        <v>جميع الإدارات</v>
      </c>
      <c r="E12" s="337" cm="1">
        <f t="array" ref="E12">IF($D12="","",_xlfn.LET(
_xlpm.d,TRIM(SUBSTITUTE(SUBSTITUTE(SUBSTITUTE(SUBSTITUTE($D12,"إدارة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SUMPRODUCT(--(_xlpm.x=_xlpm.d))
))</f>
        <v>1</v>
      </c>
      <c r="F12" s="337" cm="1">
        <f t="array" ref="F12">IF($D12="","",_xlfn.LET(
_xlpm.d,TRIM(SUBSTITUTE(SUBSTITUTE(SUBSTITUTE(SUBSTITUTE($D12,"إدارة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SUMPRODUCT(--(_xlpm.x=_xlpm.d)*--(_xlpm.c=4))
))</f>
        <v>0</v>
      </c>
      <c r="G12" s="337" cm="1">
        <f t="array" ref="G12">IF($D12="","",_xlfn.LET(
_xlpm.d,TRIM(SUBSTITUTE(SUBSTITUTE(SUBSTITUTE(SUBSTITUTE($D12,"إدارة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SUMPRODUCT(--(_xlpm.x=_xlpm.d)*--(_xlpm.c=0))
))</f>
        <v>1</v>
      </c>
      <c r="H12" s="337" cm="1">
        <f t="array" ref="H12">IF($D12="","",_xlfn.LET(
_xlpm.d,TRIM(SUBSTITUTE(SUBSTITUTE(SUBSTITUTE(SUBSTITUTE($D12,"إدارة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_xlpm.x,TRIM(SUBSTITUTE(SUBSTITUTE(SUBSTITUTE(SUBSTITUTE('قياس الأداء للربع الثاني'!$I$3:$I$1000,"إدارة الرعاية و التمكين","إدارة الرعاية والتمكين"),"إدارة الشؤون المالية و الإدارية","إدارة الشؤون المالية والإدارية"),"إدارة الإستدامة","إدارة الاستدامة"),"إدارة الإتصال المؤسسي","إدارة الاتصال المؤسسي")),
_xlpm.m,--(LEN(TRIM('قياس الأداء للربع الثاني'!$M$3:$M$1000&amp;""))&gt;0),
_xlpm.n,--(LEN(TRIM('قياس الأداء للربع الثاني'!$N$3:$N$1000&amp;""))&gt;0),
_xlpm.o,--(LEN(TRIM('قياس الأداء للربع الثاني'!$O$3:$O$1000&amp;""))&gt;0),
_xlpm.p,--(LEN(TRIM('قياس الأداء للربع الثاني'!$P$3:$P$1000&amp;""))&gt;0),
_xlpm.c,_xlpm.m+_xlpm.n+_xlpm.o+_xlpm.p,
SUMPRODUCT(--(_xlpm.x=_xlpm.d)*--(_xlpm.c&gt;0)*--(_xlpm.c&lt;4))
))</f>
        <v>0</v>
      </c>
      <c r="I12" s="338">
        <f t="shared" si="0"/>
        <v>0</v>
      </c>
    </row>
    <row r="13" spans="4:9">
      <c r="E13" s="32" t="str" cm="1">
        <f t="array" ref="E13">IF($D13="","",SUMPRODUCT(--ISNUMBER(SEARCH($D13,'قياس الأداء للربع الثاني'!$I$2:$I$1000))))</f>
        <v/>
      </c>
      <c r="F13" s="32" t="str" cm="1">
        <f t="array" ref="F13">IF($D13="","",SUMPRODUCT(--ISNUMBER(SEARCH($D13,'قياس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13" s="32" t="str" cm="1">
        <f t="array" ref="G13">IF($D13="","",SUMPRODUCT(--ISNUMBER(SEARCH($D13,'قياس الأداء للربع الثاني'!$I$2:$I$1000))*--('قياس الأداء للربع الثاني'!$M$2:$M$1000="")*--('قياس الأداء للربع الثاني'!$N$2:$N$1000="")*--('قياس الأداء للربع الثاني'!$O$2:$O$1000="")*--('قياس الأداء للربع الثاني'!$P$2:$P$1000="")))</f>
        <v/>
      </c>
      <c r="H13" s="32" t="str">
        <f t="shared" ref="H5:H26" si="1">IF($D13="","",$E13-$F13-$G13)</f>
        <v/>
      </c>
      <c r="I13" s="331"/>
    </row>
    <row r="14" spans="4:9">
      <c r="E14" s="32" t="str" cm="1">
        <f t="array" ref="E14">IF($D14="","",SUMPRODUCT(--ISNUMBER(SEARCH($D14,'قياس الأداء للربع الثاني'!$I$2:$I$1000))))</f>
        <v/>
      </c>
      <c r="F14" s="32" t="str" cm="1">
        <f t="array" ref="F14">IF($D14="","",SUMPRODUCT(--ISNUMBER(SEARCH($D14,'قياس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14" s="32" t="str" cm="1">
        <f t="array" ref="G14">IF($D14="","",SUMPRODUCT(--ISNUMBER(SEARCH($D14,'قياس الأداء للربع الثاني'!$I$2:$I$1000))*--('قياس الأداء للربع الثاني'!$M$2:$M$1000="")*--('قياس الأداء للربع الثاني'!$N$2:$N$1000="")*--('قياس الأداء للربع الثاني'!$O$2:$O$1000="")*--('قياس الأداء للربع الثاني'!$P$2:$P$1000="")))</f>
        <v/>
      </c>
      <c r="H14" s="32" t="str">
        <f t="shared" si="1"/>
        <v/>
      </c>
      <c r="I14" s="331"/>
    </row>
    <row r="15" spans="4:9">
      <c r="E15" s="32" t="str" cm="1">
        <f t="array" ref="E15">IF($D15="","",SUMPRODUCT(--ISNUMBER(SEARCH($D15,'قياس الأداء للربع الثاني'!$I$2:$I$1000))))</f>
        <v/>
      </c>
      <c r="F15" s="32" t="str" cm="1">
        <f t="array" ref="F15">IF($D15="","",SUMPRODUCT(--ISNUMBER(SEARCH($D15,'قياس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15" s="32" t="str" cm="1">
        <f t="array" ref="G15">IF($D15="","",SUMPRODUCT(--ISNUMBER(SEARCH($D15,'قياس الأداء للربع الثاني'!$I$2:$I$1000))*--('قياس الأداء للربع الثاني'!$M$2:$M$1000="")*--('قياس الأداء للربع الثاني'!$N$2:$N$1000="")*--('قياس الأداء للربع الثاني'!$O$2:$O$1000="")*--('قياس الأداء للربع الثاني'!$P$2:$P$1000="")))</f>
        <v/>
      </c>
      <c r="H15" s="32" t="str">
        <f t="shared" si="1"/>
        <v/>
      </c>
      <c r="I15" s="331"/>
    </row>
    <row r="16" spans="4:9">
      <c r="E16" s="32" t="str" cm="1">
        <f t="array" ref="E16">IF($D16="","",SUMPRODUCT(--ISNUMBER(SEARCH($D16,'قياس الأداء للربع الثاني'!$I$2:$I$1000))))</f>
        <v/>
      </c>
      <c r="F16" s="32" t="str" cm="1">
        <f t="array" ref="F16">IF($D16="","",SUMPRODUCT(--ISNUMBER(SEARCH($D16,'قياس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16" s="32" t="str" cm="1">
        <f t="array" ref="G16">IF($D16="","",SUMPRODUCT(--ISNUMBER(SEARCH($D16,'قياس الأداء للربع الثاني'!$I$2:$I$1000))*--('قياس الأداء للربع الثاني'!$M$2:$M$1000="")*--('قياس الأداء للربع الثاني'!$N$2:$N$1000="")*--('قياس الأداء للربع الثاني'!$O$2:$O$1000="")*--('قياس الأداء للربع الثاني'!$P$2:$P$1000="")))</f>
        <v/>
      </c>
      <c r="H16" s="32" t="str">
        <f t="shared" si="1"/>
        <v/>
      </c>
      <c r="I16" s="331"/>
    </row>
    <row r="17" spans="5:9">
      <c r="E17" s="32" t="str" cm="1">
        <f t="array" ref="E17">IF($D17="","",SUMPRODUCT(--ISNUMBER(SEARCH($D17,'قياس الأداء للربع الثاني'!$I$2:$I$1000))))</f>
        <v/>
      </c>
      <c r="F17" s="32" t="str" cm="1">
        <f t="array" ref="F17">IF($D17="","",SUMPRODUCT(--ISNUMBER(SEARCH($D17,'قياس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17" s="32" t="str" cm="1">
        <f t="array" ref="G17">IF($D17="","",SUMPRODUCT(--ISNUMBER(SEARCH($D17,'قياس الأداء للربع الثاني'!$I$2:$I$1000))*--('قياس الأداء للربع الثاني'!$M$2:$M$1000="")*--('قياس الأداء للربع الثاني'!$N$2:$N$1000="")*--('قياس الأداء للربع الثاني'!$O$2:$O$1000="")*--('قياس الأداء للربع الثاني'!$P$2:$P$1000="")))</f>
        <v/>
      </c>
      <c r="H17" s="32" t="str">
        <f t="shared" si="1"/>
        <v/>
      </c>
      <c r="I17" s="331"/>
    </row>
    <row r="18" spans="5:9">
      <c r="E18" s="32" t="str" cm="1">
        <f t="array" ref="E18">IF($D18="","",SUMPRODUCT(--ISNUMBER(SEARCH($D18,'قياس الأداء للربع الثاني'!$I$2:$I$1000))))</f>
        <v/>
      </c>
      <c r="F18" s="32" t="str" cm="1">
        <f t="array" ref="F18">IF($D18="","",SUMPRODUCT(--ISNUMBER(SEARCH($D18,'قياس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18" s="32" t="str" cm="1">
        <f t="array" ref="G18">IF($D18="","",SUMPRODUCT(--ISNUMBER(SEARCH($D18,'قياس الأداء للربع الثاني'!$I$2:$I$1000))*--('قياس الأداء للربع الثاني'!$M$2:$M$1000="")*--('قياس الأداء للربع الثاني'!$N$2:$N$1000="")*--('قياس الأداء للربع الثاني'!$O$2:$O$1000="")*--('قياس الأداء للربع الثاني'!$P$2:$P$1000="")))</f>
        <v/>
      </c>
      <c r="H18" s="32" t="str">
        <f t="shared" si="1"/>
        <v/>
      </c>
      <c r="I18" s="331"/>
    </row>
    <row r="19" spans="5:9">
      <c r="E19" s="32" t="str" cm="1">
        <f t="array" ref="E19">IF($D19="","",SUMPRODUCT(--ISNUMBER(SEARCH($D19,'قياس الأداء للربع الثاني'!$I$2:$I$1000))))</f>
        <v/>
      </c>
      <c r="F19" s="32" t="str" cm="1">
        <f t="array" ref="F19">IF($D19="","",SUMPRODUCT(--ISNUMBER(SEARCH($D19,'قياس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19" s="32" t="str" cm="1">
        <f t="array" ref="G19">IF($D19="","",SUMPRODUCT(--ISNUMBER(SEARCH($D19,'قياس الأداء للربع الثاني'!$I$2:$I$1000))*--('قياس الأداء للربع الثاني'!$M$2:$M$1000="")*--('قياس الأداء للربع الثاني'!$N$2:$N$1000="")*--('قياس الأداء للربع الثاني'!$O$2:$O$1000="")*--('قياس الأداء للربع الثاني'!$P$2:$P$1000="")))</f>
        <v/>
      </c>
      <c r="H19" s="32" t="str">
        <f t="shared" si="1"/>
        <v/>
      </c>
      <c r="I19" s="331"/>
    </row>
    <row r="20" spans="5:9">
      <c r="E20" s="32" t="str" cm="1">
        <f t="array" ref="E20">IF($D20="","",SUMPRODUCT(--ISNUMBER(SEARCH($D20,'قياس الأداء للربع الثاني'!$I$2:$I$1000))))</f>
        <v/>
      </c>
      <c r="F20" s="32" t="str" cm="1">
        <f t="array" ref="F20">IF($D20="","",SUMPRODUCT(--ISNUMBER(SEARCH($D20,'قياس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20" s="32" t="str" cm="1">
        <f t="array" ref="G20">IF($D20="","",SUMPRODUCT(--ISNUMBER(SEARCH($D20,'قياس الأداء للربع الثاني'!$I$2:$I$1000))*--('قياس الأداء للربع الثاني'!$M$2:$M$1000="")*--('قياس الأداء للربع الثاني'!$N$2:$N$1000="")*--('قياس الأداء للربع الثاني'!$O$2:$O$1000="")*--('قياس الأداء للربع الثاني'!$P$2:$P$1000="")))</f>
        <v/>
      </c>
      <c r="H20" s="32" t="str">
        <f t="shared" si="1"/>
        <v/>
      </c>
      <c r="I20" s="331"/>
    </row>
    <row r="21" spans="5:9">
      <c r="E21" s="32" t="str" cm="1">
        <f t="array" ref="E21">IF($D21="","",SUMPRODUCT(--ISNUMBER(SEARCH($D21,'قياس الأداء للربع الثاني'!$I$2:$I$1000))))</f>
        <v/>
      </c>
      <c r="F21" s="32" t="str" cm="1">
        <f t="array" ref="F21">IF($D21="","",SUMPRODUCT(--ISNUMBER(SEARCH($D21,'قياس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21" s="32" t="str" cm="1">
        <f t="array" ref="G21">IF($D21="","",SUMPRODUCT(--ISNUMBER(SEARCH($D21,'قياس الأداء للربع الثاني'!$I$2:$I$1000))*--('قياس الأداء للربع الثاني'!$M$2:$M$1000="")*--('قياس الأداء للربع الثاني'!$N$2:$N$1000="")*--('قياس الأداء للربع الثاني'!$O$2:$O$1000="")*--('قياس الأداء للربع الثاني'!$P$2:$P$1000="")))</f>
        <v/>
      </c>
      <c r="H21" s="32" t="str">
        <f t="shared" si="1"/>
        <v/>
      </c>
      <c r="I21" s="331"/>
    </row>
    <row r="22" spans="5:9">
      <c r="E22" s="32" t="str" cm="1">
        <f t="array" ref="E22">IF($D22="","",SUMPRODUCT(--ISNUMBER(SEARCH($D22,'قياس الأداء للربع الثاني'!$I$2:$I$1000))))</f>
        <v/>
      </c>
      <c r="F22" s="32" t="str" cm="1">
        <f t="array" ref="F22">IF($D22="","",SUMPRODUCT(--ISNUMBER(SEARCH($D22,'قياس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22" s="32" t="str" cm="1">
        <f t="array" ref="G22">IF($D22="","",SUMPRODUCT(--ISNUMBER(SEARCH($D22,'قياس الأداء للربع الثاني'!$I$2:$I$1000))*--('قياس الأداء للربع الثاني'!$M$2:$M$1000="")*--('قياس الأداء للربع الثاني'!$N$2:$N$1000="")*--('قياس الأداء للربع الثاني'!$O$2:$O$1000="")*--('قياس الأداء للربع الثاني'!$P$2:$P$1000="")))</f>
        <v/>
      </c>
      <c r="H22" s="32" t="str">
        <f t="shared" si="1"/>
        <v/>
      </c>
      <c r="I22" s="331"/>
    </row>
    <row r="23" spans="5:9">
      <c r="E23" s="32" t="str" cm="1">
        <f t="array" ref="E23">IF($D23="","",SUMPRODUCT(--ISNUMBER(SEARCH($D23,'قياس الأداء للربع الثاني'!$I$2:$I$1000))))</f>
        <v/>
      </c>
      <c r="F23" s="32" t="str" cm="1">
        <f t="array" ref="F23">IF($D23="","",SUMPRODUCT(--ISNUMBER(SEARCH($D23,'قياس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23" s="32" t="str" cm="1">
        <f t="array" ref="G23">IF($D23="","",SUMPRODUCT(--ISNUMBER(SEARCH($D23,'قياس الأداء للربع الثاني'!$I$2:$I$1000))*--('قياس الأداء للربع الثاني'!$M$2:$M$1000="")*--('قياس الأداء للربع الثاني'!$N$2:$N$1000="")*--('قياس الأداء للربع الثاني'!$O$2:$O$1000="")*--('قياس الأداء للربع الثاني'!$P$2:$P$1000="")))</f>
        <v/>
      </c>
      <c r="H23" s="32" t="str">
        <f t="shared" si="1"/>
        <v/>
      </c>
      <c r="I23" s="331"/>
    </row>
    <row r="24" spans="5:9">
      <c r="E24" s="32" t="str" cm="1">
        <f t="array" ref="E24">IF($D24="","",SUMPRODUCT(--ISNUMBER(SEARCH($D24,'قياس الأداء للربع الثاني'!$I$2:$I$1000))))</f>
        <v/>
      </c>
      <c r="F24" s="32" t="str" cm="1">
        <f t="array" ref="F24">IF($D24="","",SUMPRODUCT(--ISNUMBER(SEARCH($D24,'قياس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24" s="32" t="str" cm="1">
        <f t="array" ref="G24">IF($D24="","",SUMPRODUCT(--ISNUMBER(SEARCH($D24,'قياس الأداء للربع الثاني'!$I$2:$I$1000))*--('قياس الأداء للربع الثاني'!$M$2:$M$1000="")*--('قياس الأداء للربع الثاني'!$N$2:$N$1000="")*--('قياس الأداء للربع الثاني'!$O$2:$O$1000="")*--('قياس الأداء للربع الثاني'!$P$2:$P$1000="")))</f>
        <v/>
      </c>
      <c r="H24" s="32" t="str">
        <f t="shared" si="1"/>
        <v/>
      </c>
      <c r="I24" s="331"/>
    </row>
    <row r="25" spans="5:9">
      <c r="E25" s="32" t="str" cm="1">
        <f t="array" ref="E25">IF($D25="","",SUMPRODUCT(--ISNUMBER(SEARCH($D25,'قياس الأداء للربع الثاني'!$I$2:$I$1000))))</f>
        <v/>
      </c>
      <c r="F25" s="32" t="str" cm="1">
        <f t="array" ref="F25">IF($D25="","",SUMPRODUCT(--ISNUMBER(SEARCH($D25,'قياس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25" s="32" t="str" cm="1">
        <f t="array" ref="G25">IF($D25="","",SUMPRODUCT(--ISNUMBER(SEARCH($D25,'قياس الأداء للربع الثاني'!$I$2:$I$1000))*--('قياس الأداء للربع الثاني'!$M$2:$M$1000="")*--('قياس الأداء للربع الثاني'!$N$2:$N$1000="")*--('قياس الأداء للربع الثاني'!$O$2:$O$1000="")*--('قياس الأداء للربع الثاني'!$P$2:$P$1000="")))</f>
        <v/>
      </c>
      <c r="H25" s="32" t="str">
        <f t="shared" si="1"/>
        <v/>
      </c>
      <c r="I25" s="331"/>
    </row>
    <row r="26" spans="5:9">
      <c r="E26" s="32" t="str" cm="1">
        <f t="array" ref="E26">IF($D26="","",SUMPRODUCT(--ISNUMBER(SEARCH($D26,'قياس الأداء للربع الثاني'!$I$2:$I$1000))))</f>
        <v/>
      </c>
      <c r="F26" s="32" t="str" cm="1">
        <f t="array" ref="F26">IF($D26="","",SUMPRODUCT(--ISNUMBER(SEARCH($D26,'قياس الأداء للربع الثاني'!$I$2:$I$1000))*--('قياس الأداء للربع الثاني'!$M$2:$M$1000&lt;&gt;"")*--('قياس الأداء للربع الثاني'!$N$2:$N$1000&lt;&gt;"")*--('قياس الأداء للربع الثاني'!$O$2:$O$1000&lt;&gt;"")*--('قياس الأداء للربع الثاني'!$P$2:$P$1000&lt;&gt;"")))</f>
        <v/>
      </c>
      <c r="G26" s="32" t="str" cm="1">
        <f t="array" ref="G26">IF($D26="","",SUMPRODUCT(--ISNUMBER(SEARCH($D26,'قياس الأداء للربع الثاني'!$I$2:$I$1000))*--('قياس الأداء للربع الثاني'!$M$2:$M$1000="")*--('قياس الأداء للربع الثاني'!$N$2:$N$1000="")*--('قياس الأداء للربع الثاني'!$O$2:$O$1000="")*--('قياس الأداء للربع الثاني'!$P$2:$P$1000="")))</f>
        <v/>
      </c>
      <c r="H26" s="32" t="str">
        <f t="shared" si="1"/>
        <v/>
      </c>
      <c r="I26" s="3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شروق الرشيدي</dc:creator>
  <cp:keywords/>
  <dc:description/>
  <cp:lastModifiedBy/>
  <cp:revision/>
  <dcterms:created xsi:type="dcterms:W3CDTF">2026-02-12T04:45:21Z</dcterms:created>
  <dcterms:modified xsi:type="dcterms:W3CDTF">2026-07-04T16:33:49Z</dcterms:modified>
  <cp:category/>
  <cp:contentStatus/>
</cp:coreProperties>
</file>